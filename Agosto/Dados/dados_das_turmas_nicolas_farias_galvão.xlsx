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" sheetId="1" r:id="rId4"/>
    <sheet state="visible" name="MÉTRICAS" sheetId="2" r:id="rId5"/>
  </sheets>
  <definedNames/>
  <calcPr/>
  <extLst>
    <ext uri="GoogleSheetsCustomDataVersion2">
      <go:sheetsCustomData xmlns:go="http://customooxmlschemas.google.com/" r:id="rId6" roundtripDataChecksum="EubvyQRprUY00S7lseZ4CSsEkTzIw7E12LvYY6QI5Yw="/>
    </ext>
  </extLst>
</workbook>
</file>

<file path=xl/sharedStrings.xml><?xml version="1.0" encoding="utf-8"?>
<sst xmlns="http://schemas.openxmlformats.org/spreadsheetml/2006/main" count="141" uniqueCount="77">
  <si>
    <t>nome_completo</t>
  </si>
  <si>
    <t>turma</t>
  </si>
  <si>
    <t>nota_comportamento</t>
  </si>
  <si>
    <t>quantidade_atividades_realizadas</t>
  </si>
  <si>
    <t>nota_atividades</t>
  </si>
  <si>
    <t>nota_prova</t>
  </si>
  <si>
    <t>media_final</t>
  </si>
  <si>
    <t>situacao</t>
  </si>
  <si>
    <t>TOTAL ALUNOS</t>
  </si>
  <si>
    <t>Amanda Azevedo Rocha</t>
  </si>
  <si>
    <t>1 ANO</t>
  </si>
  <si>
    <t>QUANTIDADE DE ALUNOS</t>
  </si>
  <si>
    <t>APROVADOS</t>
  </si>
  <si>
    <t>2 ANO</t>
  </si>
  <si>
    <t>Ana Clara Benevides Souza</t>
  </si>
  <si>
    <t>3 ANO</t>
  </si>
  <si>
    <t>TOTAL</t>
  </si>
  <si>
    <t>MÉDIA DE NOTAS</t>
  </si>
  <si>
    <t>Ana Mosconi Costa</t>
  </si>
  <si>
    <t>REPROVADOS</t>
  </si>
  <si>
    <t>Bela Fernandes Carvalho</t>
  </si>
  <si>
    <t>Bia Jordão Silva</t>
  </si>
  <si>
    <t>Bibi Tatto Almeida</t>
  </si>
  <si>
    <t>Bruno Rocha Martins</t>
  </si>
  <si>
    <t>Cacau Colucci Martins</t>
  </si>
  <si>
    <t>Caio Vegatti Oliveira</t>
  </si>
  <si>
    <t>Camila Loures Ferreira</t>
  </si>
  <si>
    <t>Christian Figueiredo Costa</t>
  </si>
  <si>
    <t>Cinthia Cruz Oliveira</t>
  </si>
  <si>
    <t>Cristiano Ronaldo dos Santos Aveiro</t>
  </si>
  <si>
    <t>Duda Pimenta Alves</t>
  </si>
  <si>
    <t>Enzo Krieger Rocha</t>
  </si>
  <si>
    <t>Felipe Neto Oliveira</t>
  </si>
  <si>
    <t>Gabriel Miller Souza</t>
  </si>
  <si>
    <t>Gabriel Santana Rocha</t>
  </si>
  <si>
    <t>Giovanna Alparone Costa</t>
  </si>
  <si>
    <t>Giovanna Chaves Santos</t>
  </si>
  <si>
    <t>Giovanna Rispoli Santos</t>
  </si>
  <si>
    <t>Igor Jansen Ferreira</t>
  </si>
  <si>
    <t>Jean Paulo Campos Ferreira</t>
  </si>
  <si>
    <t>João Guilherme Ávila Costa</t>
  </si>
  <si>
    <t>João Guilherme Estrella Alves</t>
  </si>
  <si>
    <t>João Vitor Silva Mendes</t>
  </si>
  <si>
    <t>JP Mota Rodrigues</t>
  </si>
  <si>
    <t>Juju Franco Martins</t>
  </si>
  <si>
    <t>Júlia Franco Rocha</t>
  </si>
  <si>
    <t>Júlia Gomes Pereira</t>
  </si>
  <si>
    <t>Julia Pimenta Rocha</t>
  </si>
  <si>
    <t>Julia Roberts</t>
  </si>
  <si>
    <t>Juliana Paiva Souza</t>
  </si>
  <si>
    <t>Klara Castanho Souza</t>
  </si>
  <si>
    <t>Larissa Manoela Elias Santos</t>
  </si>
  <si>
    <t>Lívia Inhudes Moraes</t>
  </si>
  <si>
    <t>Lucas Burgatti Silva</t>
  </si>
  <si>
    <t>Lucas Rangel Ferreira</t>
  </si>
  <si>
    <t>Luccas Neto Ferreira</t>
  </si>
  <si>
    <t>Maisa Silva Andrade</t>
  </si>
  <si>
    <t>Manu Maia Santos</t>
  </si>
  <si>
    <t>Maria Clara Garcia Santos</t>
  </si>
  <si>
    <t>Matheus Chequer Alves</t>
  </si>
  <si>
    <t>Matheus Ueta Silva</t>
  </si>
  <si>
    <t>Mel Maia Oliveira</t>
  </si>
  <si>
    <t>Mharessa Fernanda Lima</t>
  </si>
  <si>
    <t>Neymar Júnior</t>
  </si>
  <si>
    <t>Nicolas Cruz Pereira</t>
  </si>
  <si>
    <t>Nicolas Prattes Lima</t>
  </si>
  <si>
    <t>Papa Francisco</t>
  </si>
  <si>
    <t>Pedro Motta Oliveira</t>
  </si>
  <si>
    <t>Pedro Novaes Ribeiro</t>
  </si>
  <si>
    <t>Pedro Rezende Costa</t>
  </si>
  <si>
    <t>Pietra Quintela Rocha</t>
  </si>
  <si>
    <t>Rafael Vitti Lima</t>
  </si>
  <si>
    <t>Sophia Valverde Martins</t>
  </si>
  <si>
    <t>Tainá Costa Martins</t>
  </si>
  <si>
    <t>Thomaz Costa Nogueira</t>
  </si>
  <si>
    <t>Virginia Fonseca Martins</t>
  </si>
  <si>
    <t>Vitor Figueiredo Costa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</si>
</sst>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color rgb="FFFFFFFF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2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2" fillId="2" fontId="1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0" fillId="3" fontId="5" numFmtId="0" xfId="0" applyAlignment="1" applyFill="1" applyFont="1">
      <alignment readingOrder="0"/>
    </xf>
    <xf borderId="0" fillId="0" fontId="5" numFmtId="0" xfId="0" applyFont="1"/>
    <xf borderId="0" fillId="4" fontId="5" numFmtId="0" xfId="0" applyAlignment="1" applyFill="1" applyFont="1">
      <alignment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38"/>
    <col customWidth="1" min="2" max="7" width="11.25"/>
  </cols>
  <sheetData>
    <row r="1" ht="4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5.75" customHeight="1">
      <c r="A2" s="3" t="s">
        <v>9</v>
      </c>
      <c r="B2" s="4" t="s">
        <v>10</v>
      </c>
      <c r="C2" s="4">
        <v>0.3</v>
      </c>
      <c r="D2" s="4">
        <v>0.0</v>
      </c>
      <c r="E2" s="4">
        <f t="shared" ref="E2:E61" si="1"> D2 * 0.5</f>
        <v>0</v>
      </c>
      <c r="F2" s="4">
        <v>1.8</v>
      </c>
      <c r="G2" s="4">
        <f t="shared" ref="G2:G25" si="2">C2+E2+F2</f>
        <v>2.1</v>
      </c>
      <c r="H2" s="4" t="str">
        <f t="shared" ref="H2:H61" si="3">IF(G2 &gt; 6 ,"APROVADO","REPROVADO")</f>
        <v>REPROVADO</v>
      </c>
      <c r="I2" s="7" t="s">
        <v>12</v>
      </c>
    </row>
    <row r="3" ht="15.75" customHeight="1">
      <c r="A3" s="3" t="s">
        <v>14</v>
      </c>
      <c r="B3" s="4" t="s">
        <v>10</v>
      </c>
      <c r="C3" s="4">
        <v>0.7</v>
      </c>
      <c r="D3" s="4">
        <v>1.0</v>
      </c>
      <c r="E3" s="4">
        <f t="shared" si="1"/>
        <v>0.5</v>
      </c>
      <c r="F3" s="4">
        <v>3.8</v>
      </c>
      <c r="G3" s="4">
        <f t="shared" si="2"/>
        <v>5</v>
      </c>
      <c r="H3" s="4" t="str">
        <f t="shared" si="3"/>
        <v>REPROVADO</v>
      </c>
      <c r="I3" s="8">
        <f>COUNTIF(H2:H61,"APROVADO")</f>
        <v>39</v>
      </c>
    </row>
    <row r="4" ht="15.75" customHeight="1">
      <c r="A4" s="3" t="s">
        <v>18</v>
      </c>
      <c r="B4" s="4" t="s">
        <v>13</v>
      </c>
      <c r="C4" s="4">
        <v>0.5</v>
      </c>
      <c r="D4" s="4">
        <v>1.0</v>
      </c>
      <c r="E4" s="4">
        <f t="shared" si="1"/>
        <v>0.5</v>
      </c>
      <c r="F4" s="4">
        <v>2.8</v>
      </c>
      <c r="G4" s="4">
        <f t="shared" si="2"/>
        <v>3.8</v>
      </c>
      <c r="H4" s="4" t="str">
        <f t="shared" si="3"/>
        <v>REPROVADO</v>
      </c>
      <c r="I4" s="9" t="s">
        <v>19</v>
      </c>
    </row>
    <row r="5" ht="15.75" customHeight="1">
      <c r="A5" s="3" t="s">
        <v>20</v>
      </c>
      <c r="B5" s="4" t="s">
        <v>13</v>
      </c>
      <c r="C5" s="4">
        <v>0.6</v>
      </c>
      <c r="D5" s="4">
        <v>1.0</v>
      </c>
      <c r="E5" s="4">
        <f t="shared" si="1"/>
        <v>0.5</v>
      </c>
      <c r="F5" s="4">
        <v>3.1</v>
      </c>
      <c r="G5" s="4">
        <f t="shared" si="2"/>
        <v>4.2</v>
      </c>
      <c r="H5" s="4" t="str">
        <f t="shared" si="3"/>
        <v>REPROVADO</v>
      </c>
      <c r="I5" s="8">
        <f>COUNTIF(H2:H61,"REPROVADO")</f>
        <v>21</v>
      </c>
    </row>
    <row r="6" ht="15.75" customHeight="1">
      <c r="A6" s="3" t="s">
        <v>21</v>
      </c>
      <c r="B6" s="4" t="s">
        <v>13</v>
      </c>
      <c r="C6" s="4">
        <v>0.5</v>
      </c>
      <c r="D6" s="4">
        <v>1.0</v>
      </c>
      <c r="E6" s="4">
        <f t="shared" si="1"/>
        <v>0.5</v>
      </c>
      <c r="F6" s="4">
        <v>3.0</v>
      </c>
      <c r="G6" s="4">
        <f t="shared" si="2"/>
        <v>4</v>
      </c>
      <c r="H6" s="4" t="str">
        <f t="shared" si="3"/>
        <v>REPROVADO</v>
      </c>
    </row>
    <row r="7" ht="15.75" customHeight="1">
      <c r="A7" s="3" t="s">
        <v>22</v>
      </c>
      <c r="B7" s="4" t="s">
        <v>10</v>
      </c>
      <c r="C7" s="4">
        <v>0.6</v>
      </c>
      <c r="D7" s="4">
        <v>1.0</v>
      </c>
      <c r="E7" s="4">
        <f t="shared" si="1"/>
        <v>0.5</v>
      </c>
      <c r="F7" s="4">
        <v>3.4</v>
      </c>
      <c r="G7" s="4">
        <f t="shared" si="2"/>
        <v>4.5</v>
      </c>
      <c r="H7" s="4" t="str">
        <f t="shared" si="3"/>
        <v>REPROVADO</v>
      </c>
    </row>
    <row r="8" ht="15.75" customHeight="1">
      <c r="A8" s="3" t="s">
        <v>23</v>
      </c>
      <c r="B8" s="4" t="s">
        <v>10</v>
      </c>
      <c r="C8" s="4">
        <v>0.5</v>
      </c>
      <c r="D8" s="4">
        <v>1.0</v>
      </c>
      <c r="E8" s="4">
        <f t="shared" si="1"/>
        <v>0.5</v>
      </c>
      <c r="F8" s="4">
        <v>2.9</v>
      </c>
      <c r="G8" s="4">
        <f t="shared" si="2"/>
        <v>3.9</v>
      </c>
      <c r="H8" s="4" t="str">
        <f t="shared" si="3"/>
        <v>REPROVADO</v>
      </c>
    </row>
    <row r="9" ht="15.75" customHeight="1">
      <c r="A9" s="3" t="s">
        <v>24</v>
      </c>
      <c r="B9" s="4" t="s">
        <v>15</v>
      </c>
      <c r="C9" s="4">
        <v>0.4</v>
      </c>
      <c r="D9" s="4">
        <v>1.0</v>
      </c>
      <c r="E9" s="4">
        <f t="shared" si="1"/>
        <v>0.5</v>
      </c>
      <c r="F9" s="4">
        <v>2.5</v>
      </c>
      <c r="G9" s="4">
        <f t="shared" si="2"/>
        <v>3.4</v>
      </c>
      <c r="H9" s="4" t="str">
        <f t="shared" si="3"/>
        <v>REPROVADO</v>
      </c>
    </row>
    <row r="10" ht="15.75" customHeight="1">
      <c r="A10" s="3" t="s">
        <v>25</v>
      </c>
      <c r="B10" s="4" t="s">
        <v>15</v>
      </c>
      <c r="C10" s="4">
        <v>0.5</v>
      </c>
      <c r="D10" s="4">
        <v>1.0</v>
      </c>
      <c r="E10" s="4">
        <f t="shared" si="1"/>
        <v>0.5</v>
      </c>
      <c r="F10" s="4">
        <v>2.7</v>
      </c>
      <c r="G10" s="4">
        <f t="shared" si="2"/>
        <v>3.7</v>
      </c>
      <c r="H10" s="4" t="str">
        <f t="shared" si="3"/>
        <v>REPROVADO</v>
      </c>
    </row>
    <row r="11" ht="15.75" customHeight="1">
      <c r="A11" s="3" t="s">
        <v>26</v>
      </c>
      <c r="B11" s="4" t="s">
        <v>13</v>
      </c>
      <c r="C11" s="4">
        <v>0.5</v>
      </c>
      <c r="D11" s="4">
        <v>1.0</v>
      </c>
      <c r="E11" s="4">
        <f t="shared" si="1"/>
        <v>0.5</v>
      </c>
      <c r="F11" s="4">
        <v>3.2</v>
      </c>
      <c r="G11" s="4">
        <f t="shared" si="2"/>
        <v>4.2</v>
      </c>
      <c r="H11" s="4" t="str">
        <f t="shared" si="3"/>
        <v>REPROVADO</v>
      </c>
    </row>
    <row r="12" ht="15.75" customHeight="1">
      <c r="A12" s="3" t="s">
        <v>27</v>
      </c>
      <c r="B12" s="4" t="s">
        <v>13</v>
      </c>
      <c r="C12" s="4">
        <v>0.6</v>
      </c>
      <c r="D12" s="4">
        <v>1.0</v>
      </c>
      <c r="E12" s="4">
        <f t="shared" si="1"/>
        <v>0.5</v>
      </c>
      <c r="F12" s="4">
        <v>3.0</v>
      </c>
      <c r="G12" s="4">
        <f t="shared" si="2"/>
        <v>4.1</v>
      </c>
      <c r="H12" s="4" t="str">
        <f t="shared" si="3"/>
        <v>REPROVADO</v>
      </c>
    </row>
    <row r="13" ht="15.75" customHeight="1">
      <c r="A13" s="3" t="s">
        <v>28</v>
      </c>
      <c r="B13" s="4" t="s">
        <v>15</v>
      </c>
      <c r="C13" s="4">
        <v>0.8</v>
      </c>
      <c r="D13" s="4">
        <v>2.0</v>
      </c>
      <c r="E13" s="4">
        <f t="shared" si="1"/>
        <v>1</v>
      </c>
      <c r="F13" s="4">
        <v>4.7</v>
      </c>
      <c r="G13" s="4">
        <f t="shared" si="2"/>
        <v>6.5</v>
      </c>
      <c r="H13" s="4" t="str">
        <f t="shared" si="3"/>
        <v>APROVADO</v>
      </c>
    </row>
    <row r="14" ht="15.75" customHeight="1">
      <c r="A14" s="3" t="s">
        <v>29</v>
      </c>
      <c r="B14" s="4" t="s">
        <v>13</v>
      </c>
      <c r="C14" s="4">
        <v>1.0</v>
      </c>
      <c r="D14" s="4">
        <v>2.0</v>
      </c>
      <c r="E14" s="4">
        <f t="shared" si="1"/>
        <v>1</v>
      </c>
      <c r="F14" s="4">
        <v>5.2</v>
      </c>
      <c r="G14" s="4">
        <f t="shared" si="2"/>
        <v>7.2</v>
      </c>
      <c r="H14" s="4" t="str">
        <f t="shared" si="3"/>
        <v>APROVADO</v>
      </c>
    </row>
    <row r="15" ht="15.75" customHeight="1">
      <c r="A15" s="3" t="s">
        <v>30</v>
      </c>
      <c r="B15" s="4" t="s">
        <v>13</v>
      </c>
      <c r="C15" s="4">
        <v>0.6</v>
      </c>
      <c r="D15" s="4">
        <v>2.0</v>
      </c>
      <c r="E15" s="4">
        <f t="shared" si="1"/>
        <v>1</v>
      </c>
      <c r="F15" s="4">
        <v>3.9</v>
      </c>
      <c r="G15" s="4">
        <f t="shared" si="2"/>
        <v>5.5</v>
      </c>
      <c r="H15" s="4" t="str">
        <f t="shared" si="3"/>
        <v>REPROVADO</v>
      </c>
    </row>
    <row r="16" ht="15.75" customHeight="1">
      <c r="A16" s="3" t="s">
        <v>31</v>
      </c>
      <c r="B16" s="4" t="s">
        <v>10</v>
      </c>
      <c r="C16" s="4">
        <v>0.7</v>
      </c>
      <c r="D16" s="4">
        <v>2.0</v>
      </c>
      <c r="E16" s="4">
        <f t="shared" si="1"/>
        <v>1</v>
      </c>
      <c r="F16" s="4">
        <v>4.2</v>
      </c>
      <c r="G16" s="4">
        <f t="shared" si="2"/>
        <v>5.9</v>
      </c>
      <c r="H16" s="4" t="str">
        <f t="shared" si="3"/>
        <v>REPROVADO</v>
      </c>
    </row>
    <row r="17" ht="15.75" customHeight="1">
      <c r="A17" s="3" t="s">
        <v>32</v>
      </c>
      <c r="B17" s="4" t="s">
        <v>15</v>
      </c>
      <c r="C17" s="4">
        <v>0.8</v>
      </c>
      <c r="D17" s="4">
        <v>2.0</v>
      </c>
      <c r="E17" s="4">
        <f t="shared" si="1"/>
        <v>1</v>
      </c>
      <c r="F17" s="4">
        <v>4.3</v>
      </c>
      <c r="G17" s="4">
        <f t="shared" si="2"/>
        <v>6.1</v>
      </c>
      <c r="H17" s="4" t="str">
        <f t="shared" si="3"/>
        <v>APROVADO</v>
      </c>
    </row>
    <row r="18" ht="15.75" customHeight="1">
      <c r="A18" s="3" t="s">
        <v>33</v>
      </c>
      <c r="B18" s="4" t="s">
        <v>15</v>
      </c>
      <c r="C18" s="4">
        <v>0.7</v>
      </c>
      <c r="D18" s="4">
        <v>2.0</v>
      </c>
      <c r="E18" s="4">
        <f t="shared" si="1"/>
        <v>1</v>
      </c>
      <c r="F18" s="4">
        <v>4.0</v>
      </c>
      <c r="G18" s="4">
        <f t="shared" si="2"/>
        <v>5.7</v>
      </c>
      <c r="H18" s="4" t="str">
        <f t="shared" si="3"/>
        <v>REPROVADO</v>
      </c>
    </row>
    <row r="19" ht="15.75" customHeight="1">
      <c r="A19" s="3" t="s">
        <v>34</v>
      </c>
      <c r="B19" s="4" t="s">
        <v>13</v>
      </c>
      <c r="C19" s="4">
        <v>0.7</v>
      </c>
      <c r="D19" s="4">
        <v>2.0</v>
      </c>
      <c r="E19" s="4">
        <f t="shared" si="1"/>
        <v>1</v>
      </c>
      <c r="F19" s="4">
        <v>4.1</v>
      </c>
      <c r="G19" s="4">
        <f t="shared" si="2"/>
        <v>5.8</v>
      </c>
      <c r="H19" s="4" t="str">
        <f t="shared" si="3"/>
        <v>REPROVADO</v>
      </c>
    </row>
    <row r="20" ht="15.75" customHeight="1">
      <c r="A20" s="3" t="s">
        <v>35</v>
      </c>
      <c r="B20" s="4" t="s">
        <v>15</v>
      </c>
      <c r="C20" s="4">
        <v>0.7</v>
      </c>
      <c r="D20" s="4">
        <v>2.0</v>
      </c>
      <c r="E20" s="4">
        <f t="shared" si="1"/>
        <v>1</v>
      </c>
      <c r="F20" s="4">
        <v>4.0</v>
      </c>
      <c r="G20" s="4">
        <f t="shared" si="2"/>
        <v>5.7</v>
      </c>
      <c r="H20" s="4" t="str">
        <f t="shared" si="3"/>
        <v>REPROVADO</v>
      </c>
    </row>
    <row r="21" ht="15.75" customHeight="1">
      <c r="A21" s="3" t="s">
        <v>36</v>
      </c>
      <c r="B21" s="4" t="s">
        <v>10</v>
      </c>
      <c r="C21" s="4">
        <v>0.6</v>
      </c>
      <c r="D21" s="4">
        <v>2.0</v>
      </c>
      <c r="E21" s="4">
        <f t="shared" si="1"/>
        <v>1</v>
      </c>
      <c r="F21" s="4">
        <v>3.8</v>
      </c>
      <c r="G21" s="4">
        <f t="shared" si="2"/>
        <v>5.4</v>
      </c>
      <c r="H21" s="4" t="str">
        <f t="shared" si="3"/>
        <v>REPROVADO</v>
      </c>
    </row>
    <row r="22" ht="15.75" customHeight="1">
      <c r="A22" s="3" t="s">
        <v>37</v>
      </c>
      <c r="B22" s="4" t="s">
        <v>10</v>
      </c>
      <c r="C22" s="4">
        <v>0.8</v>
      </c>
      <c r="D22" s="4">
        <v>2.0</v>
      </c>
      <c r="E22" s="4">
        <f t="shared" si="1"/>
        <v>1</v>
      </c>
      <c r="F22" s="4">
        <v>4.2</v>
      </c>
      <c r="G22" s="4">
        <f t="shared" si="2"/>
        <v>6</v>
      </c>
      <c r="H22" s="4" t="str">
        <f t="shared" si="3"/>
        <v>REPROVADO</v>
      </c>
    </row>
    <row r="23" ht="15.75" customHeight="1">
      <c r="A23" s="3" t="s">
        <v>38</v>
      </c>
      <c r="B23" s="4" t="s">
        <v>13</v>
      </c>
      <c r="C23" s="4">
        <v>0.7</v>
      </c>
      <c r="D23" s="4">
        <v>2.0</v>
      </c>
      <c r="E23" s="4">
        <f t="shared" si="1"/>
        <v>1</v>
      </c>
      <c r="F23" s="4">
        <v>3.9</v>
      </c>
      <c r="G23" s="4">
        <f t="shared" si="2"/>
        <v>5.6</v>
      </c>
      <c r="H23" s="4" t="str">
        <f t="shared" si="3"/>
        <v>REPROVADO</v>
      </c>
    </row>
    <row r="24" ht="15.75" customHeight="1">
      <c r="A24" s="3" t="s">
        <v>39</v>
      </c>
      <c r="B24" s="4" t="s">
        <v>15</v>
      </c>
      <c r="C24" s="4">
        <v>0.6</v>
      </c>
      <c r="D24" s="4">
        <v>2.0</v>
      </c>
      <c r="E24" s="4">
        <f t="shared" si="1"/>
        <v>1</v>
      </c>
      <c r="F24" s="4">
        <v>3.7</v>
      </c>
      <c r="G24" s="4">
        <f t="shared" si="2"/>
        <v>5.3</v>
      </c>
      <c r="H24" s="4" t="str">
        <f t="shared" si="3"/>
        <v>REPROVADO</v>
      </c>
    </row>
    <row r="25" ht="15.75" customHeight="1">
      <c r="A25" s="3" t="s">
        <v>40</v>
      </c>
      <c r="B25" s="4" t="s">
        <v>10</v>
      </c>
      <c r="C25" s="4">
        <v>0.7</v>
      </c>
      <c r="D25" s="4">
        <v>2.0</v>
      </c>
      <c r="E25" s="4">
        <f t="shared" si="1"/>
        <v>1</v>
      </c>
      <c r="F25" s="4">
        <v>4.1</v>
      </c>
      <c r="G25" s="4">
        <f t="shared" si="2"/>
        <v>5.8</v>
      </c>
      <c r="H25" s="4" t="str">
        <f t="shared" si="3"/>
        <v>REPROVADO</v>
      </c>
    </row>
    <row r="26" ht="15.75" customHeight="1">
      <c r="A26" s="3" t="s">
        <v>41</v>
      </c>
      <c r="B26" s="4" t="s">
        <v>10</v>
      </c>
      <c r="C26" s="4">
        <v>0.7</v>
      </c>
      <c r="D26" s="4">
        <v>2.0</v>
      </c>
      <c r="E26" s="4">
        <f t="shared" si="1"/>
        <v>1</v>
      </c>
      <c r="F26" s="4">
        <v>4.0</v>
      </c>
      <c r="G26" s="10">
        <v>6.1</v>
      </c>
      <c r="H26" s="4" t="str">
        <f t="shared" si="3"/>
        <v>APROVADO</v>
      </c>
    </row>
    <row r="27" ht="15.75" customHeight="1">
      <c r="A27" s="3" t="s">
        <v>42</v>
      </c>
      <c r="B27" s="4" t="s">
        <v>10</v>
      </c>
      <c r="C27" s="4">
        <v>0.9</v>
      </c>
      <c r="D27" s="4">
        <v>3.0</v>
      </c>
      <c r="E27" s="4">
        <f t="shared" si="1"/>
        <v>1.5</v>
      </c>
      <c r="F27" s="4">
        <v>5.6</v>
      </c>
      <c r="G27" s="4">
        <f t="shared" ref="G27:G61" si="4">C27+E27+F27</f>
        <v>8</v>
      </c>
      <c r="H27" s="4" t="str">
        <f t="shared" si="3"/>
        <v>APROVADO</v>
      </c>
    </row>
    <row r="28" ht="15.75" customHeight="1">
      <c r="A28" s="3" t="s">
        <v>43</v>
      </c>
      <c r="B28" s="4" t="s">
        <v>10</v>
      </c>
      <c r="C28" s="4">
        <v>0.8</v>
      </c>
      <c r="D28" s="4">
        <v>3.0</v>
      </c>
      <c r="E28" s="4">
        <f t="shared" si="1"/>
        <v>1.5</v>
      </c>
      <c r="F28" s="4">
        <v>4.5</v>
      </c>
      <c r="G28" s="4">
        <f t="shared" si="4"/>
        <v>6.8</v>
      </c>
      <c r="H28" s="4" t="str">
        <f t="shared" si="3"/>
        <v>APROVADO</v>
      </c>
    </row>
    <row r="29" ht="15.75" customHeight="1">
      <c r="A29" s="3" t="s">
        <v>44</v>
      </c>
      <c r="B29" s="4" t="s">
        <v>15</v>
      </c>
      <c r="C29" s="4">
        <v>0.8</v>
      </c>
      <c r="D29" s="4">
        <v>3.0</v>
      </c>
      <c r="E29" s="4">
        <f t="shared" si="1"/>
        <v>1.5</v>
      </c>
      <c r="F29" s="4">
        <v>4.7</v>
      </c>
      <c r="G29" s="4">
        <f t="shared" si="4"/>
        <v>7</v>
      </c>
      <c r="H29" s="4" t="str">
        <f t="shared" si="3"/>
        <v>APROVADO</v>
      </c>
    </row>
    <row r="30" ht="15.75" customHeight="1">
      <c r="A30" s="3" t="s">
        <v>45</v>
      </c>
      <c r="B30" s="4" t="s">
        <v>10</v>
      </c>
      <c r="C30" s="4">
        <v>0.9</v>
      </c>
      <c r="D30" s="4">
        <v>3.0</v>
      </c>
      <c r="E30" s="4">
        <f t="shared" si="1"/>
        <v>1.5</v>
      </c>
      <c r="F30" s="4">
        <v>5.1</v>
      </c>
      <c r="G30" s="4">
        <f t="shared" si="4"/>
        <v>7.5</v>
      </c>
      <c r="H30" s="4" t="str">
        <f t="shared" si="3"/>
        <v>APROVADO</v>
      </c>
    </row>
    <row r="31" ht="15.75" customHeight="1">
      <c r="A31" s="3" t="s">
        <v>46</v>
      </c>
      <c r="B31" s="4" t="s">
        <v>10</v>
      </c>
      <c r="C31" s="4">
        <v>0.8</v>
      </c>
      <c r="D31" s="4">
        <v>3.0</v>
      </c>
      <c r="E31" s="4">
        <f t="shared" si="1"/>
        <v>1.5</v>
      </c>
      <c r="F31" s="4">
        <v>4.6</v>
      </c>
      <c r="G31" s="4">
        <f t="shared" si="4"/>
        <v>6.9</v>
      </c>
      <c r="H31" s="4" t="str">
        <f t="shared" si="3"/>
        <v>APROVADO</v>
      </c>
    </row>
    <row r="32" ht="15.75" customHeight="1">
      <c r="A32" s="3" t="s">
        <v>47</v>
      </c>
      <c r="B32" s="4" t="s">
        <v>10</v>
      </c>
      <c r="C32" s="4">
        <v>0.9</v>
      </c>
      <c r="D32" s="4">
        <v>3.0</v>
      </c>
      <c r="E32" s="4">
        <f t="shared" si="1"/>
        <v>1.5</v>
      </c>
      <c r="F32" s="4">
        <v>5.0</v>
      </c>
      <c r="G32" s="4">
        <f t="shared" si="4"/>
        <v>7.4</v>
      </c>
      <c r="H32" s="4" t="str">
        <f t="shared" si="3"/>
        <v>APROVADO</v>
      </c>
    </row>
    <row r="33" ht="15.75" customHeight="1">
      <c r="A33" s="3" t="s">
        <v>48</v>
      </c>
      <c r="B33" s="4" t="s">
        <v>15</v>
      </c>
      <c r="C33" s="4">
        <v>0.8</v>
      </c>
      <c r="D33" s="4">
        <v>3.0</v>
      </c>
      <c r="E33" s="4">
        <f t="shared" si="1"/>
        <v>1.5</v>
      </c>
      <c r="F33" s="4">
        <v>4.8</v>
      </c>
      <c r="G33" s="4">
        <f t="shared" si="4"/>
        <v>7.1</v>
      </c>
      <c r="H33" s="4" t="str">
        <f t="shared" si="3"/>
        <v>APROVADO</v>
      </c>
    </row>
    <row r="34" ht="15.75" customHeight="1">
      <c r="A34" s="3" t="s">
        <v>49</v>
      </c>
      <c r="B34" s="4" t="s">
        <v>15</v>
      </c>
      <c r="C34" s="4">
        <v>0.9</v>
      </c>
      <c r="D34" s="4">
        <v>3.0</v>
      </c>
      <c r="E34" s="4">
        <f t="shared" si="1"/>
        <v>1.5</v>
      </c>
      <c r="F34" s="4">
        <v>5.2</v>
      </c>
      <c r="G34" s="4">
        <f t="shared" si="4"/>
        <v>7.6</v>
      </c>
      <c r="H34" s="4" t="str">
        <f t="shared" si="3"/>
        <v>APROVADO</v>
      </c>
    </row>
    <row r="35" ht="15.75" customHeight="1">
      <c r="A35" s="3" t="s">
        <v>50</v>
      </c>
      <c r="B35" s="4" t="s">
        <v>10</v>
      </c>
      <c r="C35" s="4">
        <v>0.8</v>
      </c>
      <c r="D35" s="4">
        <v>3.0</v>
      </c>
      <c r="E35" s="4">
        <f t="shared" si="1"/>
        <v>1.5</v>
      </c>
      <c r="F35" s="4">
        <v>4.9</v>
      </c>
      <c r="G35" s="4">
        <f t="shared" si="4"/>
        <v>7.2</v>
      </c>
      <c r="H35" s="4" t="str">
        <f t="shared" si="3"/>
        <v>APROVADO</v>
      </c>
    </row>
    <row r="36" ht="15.75" customHeight="1">
      <c r="A36" s="3" t="s">
        <v>51</v>
      </c>
      <c r="B36" s="4" t="s">
        <v>10</v>
      </c>
      <c r="C36" s="4">
        <v>0.8</v>
      </c>
      <c r="D36" s="4">
        <v>3.0</v>
      </c>
      <c r="E36" s="4">
        <f t="shared" si="1"/>
        <v>1.5</v>
      </c>
      <c r="F36" s="4">
        <v>4.7</v>
      </c>
      <c r="G36" s="4">
        <f t="shared" si="4"/>
        <v>7</v>
      </c>
      <c r="H36" s="4" t="str">
        <f t="shared" si="3"/>
        <v>APROVADO</v>
      </c>
    </row>
    <row r="37" ht="15.75" customHeight="1">
      <c r="A37" s="3" t="s">
        <v>52</v>
      </c>
      <c r="B37" s="4" t="s">
        <v>13</v>
      </c>
      <c r="C37" s="4">
        <v>0.9</v>
      </c>
      <c r="D37" s="4">
        <v>3.0</v>
      </c>
      <c r="E37" s="4">
        <f t="shared" si="1"/>
        <v>1.5</v>
      </c>
      <c r="F37" s="4">
        <v>5.1</v>
      </c>
      <c r="G37" s="4">
        <f t="shared" si="4"/>
        <v>7.5</v>
      </c>
      <c r="H37" s="4" t="str">
        <f t="shared" si="3"/>
        <v>APROVADO</v>
      </c>
    </row>
    <row r="38" ht="15.75" customHeight="1">
      <c r="A38" s="3" t="s">
        <v>53</v>
      </c>
      <c r="B38" s="4" t="s">
        <v>15</v>
      </c>
      <c r="C38" s="4">
        <v>0.8</v>
      </c>
      <c r="D38" s="4">
        <v>3.0</v>
      </c>
      <c r="E38" s="4">
        <f t="shared" si="1"/>
        <v>1.5</v>
      </c>
      <c r="F38" s="4">
        <v>4.8</v>
      </c>
      <c r="G38" s="4">
        <f t="shared" si="4"/>
        <v>7.1</v>
      </c>
      <c r="H38" s="4" t="str">
        <f t="shared" si="3"/>
        <v>APROVADO</v>
      </c>
    </row>
    <row r="39" ht="15.75" customHeight="1">
      <c r="A39" s="3" t="s">
        <v>54</v>
      </c>
      <c r="B39" s="4" t="s">
        <v>13</v>
      </c>
      <c r="C39" s="4">
        <v>0.8</v>
      </c>
      <c r="D39" s="4">
        <v>3.0</v>
      </c>
      <c r="E39" s="4">
        <f t="shared" si="1"/>
        <v>1.5</v>
      </c>
      <c r="F39" s="4">
        <v>4.6</v>
      </c>
      <c r="G39" s="4">
        <f t="shared" si="4"/>
        <v>6.9</v>
      </c>
      <c r="H39" s="4" t="str">
        <f t="shared" si="3"/>
        <v>APROVADO</v>
      </c>
    </row>
    <row r="40" ht="15.75" customHeight="1">
      <c r="A40" s="3" t="s">
        <v>55</v>
      </c>
      <c r="B40" s="4" t="s">
        <v>10</v>
      </c>
      <c r="C40" s="4">
        <v>0.9</v>
      </c>
      <c r="D40" s="4">
        <v>3.0</v>
      </c>
      <c r="E40" s="4">
        <f t="shared" si="1"/>
        <v>1.5</v>
      </c>
      <c r="F40" s="4">
        <v>5.0</v>
      </c>
      <c r="G40" s="4">
        <f t="shared" si="4"/>
        <v>7.4</v>
      </c>
      <c r="H40" s="4" t="str">
        <f t="shared" si="3"/>
        <v>APROVADO</v>
      </c>
    </row>
    <row r="41" ht="15.75" customHeight="1">
      <c r="A41" s="3" t="s">
        <v>56</v>
      </c>
      <c r="B41" s="4" t="s">
        <v>13</v>
      </c>
      <c r="C41" s="4">
        <v>0.8</v>
      </c>
      <c r="D41" s="4">
        <v>3.0</v>
      </c>
      <c r="E41" s="4">
        <f t="shared" si="1"/>
        <v>1.5</v>
      </c>
      <c r="F41" s="4">
        <v>4.9</v>
      </c>
      <c r="G41" s="4">
        <f t="shared" si="4"/>
        <v>7.2</v>
      </c>
      <c r="H41" s="4" t="str">
        <f t="shared" si="3"/>
        <v>APROVADO</v>
      </c>
    </row>
    <row r="42" ht="15.75" customHeight="1">
      <c r="A42" s="3" t="s">
        <v>57</v>
      </c>
      <c r="B42" s="4" t="s">
        <v>13</v>
      </c>
      <c r="C42" s="4">
        <v>0.9</v>
      </c>
      <c r="D42" s="4">
        <v>3.0</v>
      </c>
      <c r="E42" s="4">
        <f t="shared" si="1"/>
        <v>1.5</v>
      </c>
      <c r="F42" s="4">
        <v>5.2</v>
      </c>
      <c r="G42" s="4">
        <f t="shared" si="4"/>
        <v>7.6</v>
      </c>
      <c r="H42" s="4" t="str">
        <f t="shared" si="3"/>
        <v>APROVADO</v>
      </c>
    </row>
    <row r="43" ht="15.75" customHeight="1">
      <c r="A43" s="3" t="s">
        <v>58</v>
      </c>
      <c r="B43" s="4" t="s">
        <v>10</v>
      </c>
      <c r="C43" s="4">
        <v>1.0</v>
      </c>
      <c r="D43" s="4">
        <v>4.0</v>
      </c>
      <c r="E43" s="4">
        <f t="shared" si="1"/>
        <v>2</v>
      </c>
      <c r="F43" s="4">
        <v>6.0</v>
      </c>
      <c r="G43" s="4">
        <f t="shared" si="4"/>
        <v>9</v>
      </c>
      <c r="H43" s="4" t="str">
        <f t="shared" si="3"/>
        <v>APROVADO</v>
      </c>
    </row>
    <row r="44" ht="15.75" customHeight="1">
      <c r="A44" s="3" t="s">
        <v>59</v>
      </c>
      <c r="B44" s="4" t="s">
        <v>10</v>
      </c>
      <c r="C44" s="4">
        <v>0.9</v>
      </c>
      <c r="D44" s="4">
        <v>4.0</v>
      </c>
      <c r="E44" s="4">
        <f t="shared" si="1"/>
        <v>2</v>
      </c>
      <c r="F44" s="4">
        <v>5.7</v>
      </c>
      <c r="G44" s="4">
        <f t="shared" si="4"/>
        <v>8.6</v>
      </c>
      <c r="H44" s="4" t="str">
        <f t="shared" si="3"/>
        <v>APROVADO</v>
      </c>
    </row>
    <row r="45" ht="15.75" customHeight="1">
      <c r="A45" s="3" t="s">
        <v>60</v>
      </c>
      <c r="B45" s="4" t="s">
        <v>15</v>
      </c>
      <c r="C45" s="4">
        <v>0.9</v>
      </c>
      <c r="D45" s="4">
        <v>4.0</v>
      </c>
      <c r="E45" s="4">
        <f t="shared" si="1"/>
        <v>2</v>
      </c>
      <c r="F45" s="4">
        <v>5.9</v>
      </c>
      <c r="G45" s="4">
        <f t="shared" si="4"/>
        <v>8.8</v>
      </c>
      <c r="H45" s="4" t="str">
        <f t="shared" si="3"/>
        <v>APROVADO</v>
      </c>
    </row>
    <row r="46" ht="15.75" customHeight="1">
      <c r="A46" s="3" t="s">
        <v>61</v>
      </c>
      <c r="B46" s="4" t="s">
        <v>15</v>
      </c>
      <c r="C46" s="4">
        <v>1.0</v>
      </c>
      <c r="D46" s="4">
        <v>4.0</v>
      </c>
      <c r="E46" s="4">
        <f t="shared" si="1"/>
        <v>2</v>
      </c>
      <c r="F46" s="4">
        <v>5.8</v>
      </c>
      <c r="G46" s="4">
        <f t="shared" si="4"/>
        <v>8.8</v>
      </c>
      <c r="H46" s="4" t="str">
        <f t="shared" si="3"/>
        <v>APROVADO</v>
      </c>
    </row>
    <row r="47" ht="15.75" customHeight="1">
      <c r="A47" s="3" t="s">
        <v>62</v>
      </c>
      <c r="B47" s="4" t="s">
        <v>10</v>
      </c>
      <c r="C47" s="4">
        <v>0.9</v>
      </c>
      <c r="D47" s="4">
        <v>4.0</v>
      </c>
      <c r="E47" s="4">
        <f t="shared" si="1"/>
        <v>2</v>
      </c>
      <c r="F47" s="4">
        <v>5.4</v>
      </c>
      <c r="G47" s="4">
        <f t="shared" si="4"/>
        <v>8.3</v>
      </c>
      <c r="H47" s="4" t="str">
        <f t="shared" si="3"/>
        <v>APROVADO</v>
      </c>
    </row>
    <row r="48" ht="15.75" customHeight="1">
      <c r="A48" s="3" t="s">
        <v>63</v>
      </c>
      <c r="B48" s="4" t="s">
        <v>10</v>
      </c>
      <c r="C48" s="4">
        <v>1.0</v>
      </c>
      <c r="D48" s="4">
        <v>4.0</v>
      </c>
      <c r="E48" s="4">
        <f t="shared" si="1"/>
        <v>2</v>
      </c>
      <c r="F48" s="4">
        <v>5.8</v>
      </c>
      <c r="G48" s="4">
        <f t="shared" si="4"/>
        <v>8.8</v>
      </c>
      <c r="H48" s="4" t="str">
        <f t="shared" si="3"/>
        <v>APROVADO</v>
      </c>
    </row>
    <row r="49" ht="15.75" customHeight="1">
      <c r="A49" s="3" t="s">
        <v>64</v>
      </c>
      <c r="B49" s="4" t="s">
        <v>13</v>
      </c>
      <c r="C49" s="4">
        <v>1.0</v>
      </c>
      <c r="D49" s="4">
        <v>4.0</v>
      </c>
      <c r="E49" s="4">
        <f t="shared" si="1"/>
        <v>2</v>
      </c>
      <c r="F49" s="4">
        <v>5.7</v>
      </c>
      <c r="G49" s="4">
        <f t="shared" si="4"/>
        <v>8.7</v>
      </c>
      <c r="H49" s="4" t="str">
        <f t="shared" si="3"/>
        <v>APROVADO</v>
      </c>
    </row>
    <row r="50" ht="15.75" customHeight="1">
      <c r="A50" s="3" t="s">
        <v>65</v>
      </c>
      <c r="B50" s="4" t="s">
        <v>10</v>
      </c>
      <c r="C50" s="4">
        <v>0.9</v>
      </c>
      <c r="D50" s="4">
        <v>4.0</v>
      </c>
      <c r="E50" s="4">
        <f t="shared" si="1"/>
        <v>2</v>
      </c>
      <c r="F50" s="4">
        <v>5.6</v>
      </c>
      <c r="G50" s="4">
        <f t="shared" si="4"/>
        <v>8.5</v>
      </c>
      <c r="H50" s="4" t="str">
        <f t="shared" si="3"/>
        <v>APROVADO</v>
      </c>
    </row>
    <row r="51" ht="15.75" customHeight="1">
      <c r="A51" s="3" t="s">
        <v>66</v>
      </c>
      <c r="B51" s="4" t="s">
        <v>10</v>
      </c>
      <c r="C51" s="4">
        <v>1.0</v>
      </c>
      <c r="D51" s="4">
        <v>4.0</v>
      </c>
      <c r="E51" s="4">
        <f t="shared" si="1"/>
        <v>2</v>
      </c>
      <c r="F51" s="4">
        <v>6.0</v>
      </c>
      <c r="G51" s="4">
        <f t="shared" si="4"/>
        <v>9</v>
      </c>
      <c r="H51" s="4" t="str">
        <f t="shared" si="3"/>
        <v>APROVADO</v>
      </c>
    </row>
    <row r="52" ht="15.75" customHeight="1">
      <c r="A52" s="3" t="s">
        <v>67</v>
      </c>
      <c r="B52" s="4" t="s">
        <v>10</v>
      </c>
      <c r="C52" s="4">
        <v>0.9</v>
      </c>
      <c r="D52" s="4">
        <v>4.0</v>
      </c>
      <c r="E52" s="4">
        <f t="shared" si="1"/>
        <v>2</v>
      </c>
      <c r="F52" s="4">
        <v>5.5</v>
      </c>
      <c r="G52" s="4">
        <f t="shared" si="4"/>
        <v>8.4</v>
      </c>
      <c r="H52" s="4" t="str">
        <f t="shared" si="3"/>
        <v>APROVADO</v>
      </c>
    </row>
    <row r="53" ht="15.75" customHeight="1">
      <c r="A53" s="3" t="s">
        <v>68</v>
      </c>
      <c r="B53" s="4" t="s">
        <v>10</v>
      </c>
      <c r="C53" s="4">
        <v>1.0</v>
      </c>
      <c r="D53" s="4">
        <v>4.0</v>
      </c>
      <c r="E53" s="4">
        <f t="shared" si="1"/>
        <v>2</v>
      </c>
      <c r="F53" s="4">
        <v>5.8</v>
      </c>
      <c r="G53" s="4">
        <f t="shared" si="4"/>
        <v>8.8</v>
      </c>
      <c r="H53" s="4" t="str">
        <f t="shared" si="3"/>
        <v>APROVADO</v>
      </c>
    </row>
    <row r="54" ht="15.75" customHeight="1">
      <c r="A54" s="3" t="s">
        <v>69</v>
      </c>
      <c r="B54" s="4" t="s">
        <v>13</v>
      </c>
      <c r="C54" s="4">
        <v>0.9</v>
      </c>
      <c r="D54" s="4">
        <v>4.0</v>
      </c>
      <c r="E54" s="4">
        <f t="shared" si="1"/>
        <v>2</v>
      </c>
      <c r="F54" s="4">
        <v>5.6</v>
      </c>
      <c r="G54" s="4">
        <f t="shared" si="4"/>
        <v>8.5</v>
      </c>
      <c r="H54" s="4" t="str">
        <f t="shared" si="3"/>
        <v>APROVADO</v>
      </c>
    </row>
    <row r="55" ht="15.75" customHeight="1">
      <c r="A55" s="3" t="s">
        <v>70</v>
      </c>
      <c r="B55" s="4" t="s">
        <v>10</v>
      </c>
      <c r="C55" s="4">
        <v>1.0</v>
      </c>
      <c r="D55" s="4">
        <v>4.0</v>
      </c>
      <c r="E55" s="4">
        <f t="shared" si="1"/>
        <v>2</v>
      </c>
      <c r="F55" s="4">
        <v>5.9</v>
      </c>
      <c r="G55" s="4">
        <f t="shared" si="4"/>
        <v>8.9</v>
      </c>
      <c r="H55" s="4" t="str">
        <f t="shared" si="3"/>
        <v>APROVADO</v>
      </c>
    </row>
    <row r="56" ht="15.75" customHeight="1">
      <c r="A56" s="3" t="s">
        <v>71</v>
      </c>
      <c r="B56" s="4" t="s">
        <v>13</v>
      </c>
      <c r="C56" s="4">
        <v>0.9</v>
      </c>
      <c r="D56" s="4">
        <v>4.0</v>
      </c>
      <c r="E56" s="4">
        <f t="shared" si="1"/>
        <v>2</v>
      </c>
      <c r="F56" s="4">
        <v>5.4</v>
      </c>
      <c r="G56" s="4">
        <f t="shared" si="4"/>
        <v>8.3</v>
      </c>
      <c r="H56" s="4" t="str">
        <f t="shared" si="3"/>
        <v>APROVADO</v>
      </c>
    </row>
    <row r="57" ht="15.75" customHeight="1">
      <c r="A57" s="3" t="s">
        <v>72</v>
      </c>
      <c r="B57" s="4" t="s">
        <v>13</v>
      </c>
      <c r="C57" s="4">
        <v>1.0</v>
      </c>
      <c r="D57" s="4">
        <v>4.0</v>
      </c>
      <c r="E57" s="4">
        <f t="shared" si="1"/>
        <v>2</v>
      </c>
      <c r="F57" s="4">
        <v>5.7</v>
      </c>
      <c r="G57" s="4">
        <f t="shared" si="4"/>
        <v>8.7</v>
      </c>
      <c r="H57" s="4" t="str">
        <f t="shared" si="3"/>
        <v>APROVADO</v>
      </c>
    </row>
    <row r="58" ht="15.75" customHeight="1">
      <c r="A58" s="3" t="s">
        <v>73</v>
      </c>
      <c r="B58" s="4" t="s">
        <v>10</v>
      </c>
      <c r="C58" s="4">
        <v>0.9</v>
      </c>
      <c r="D58" s="4">
        <v>4.0</v>
      </c>
      <c r="E58" s="4">
        <f t="shared" si="1"/>
        <v>2</v>
      </c>
      <c r="F58" s="4">
        <v>5.8</v>
      </c>
      <c r="G58" s="4">
        <f t="shared" si="4"/>
        <v>8.7</v>
      </c>
      <c r="H58" s="4" t="str">
        <f t="shared" si="3"/>
        <v>APROVADO</v>
      </c>
    </row>
    <row r="59" ht="15.75" customHeight="1">
      <c r="A59" s="3" t="s">
        <v>74</v>
      </c>
      <c r="B59" s="4" t="s">
        <v>10</v>
      </c>
      <c r="C59" s="4">
        <v>1.0</v>
      </c>
      <c r="D59" s="4">
        <v>4.0</v>
      </c>
      <c r="E59" s="4">
        <f t="shared" si="1"/>
        <v>2</v>
      </c>
      <c r="F59" s="4">
        <v>5.9</v>
      </c>
      <c r="G59" s="4">
        <f t="shared" si="4"/>
        <v>8.9</v>
      </c>
      <c r="H59" s="4" t="str">
        <f t="shared" si="3"/>
        <v>APROVADO</v>
      </c>
    </row>
    <row r="60" ht="15.75" customHeight="1">
      <c r="A60" s="3" t="s">
        <v>75</v>
      </c>
      <c r="B60" s="4" t="s">
        <v>13</v>
      </c>
      <c r="C60" s="4">
        <v>0.9</v>
      </c>
      <c r="D60" s="4">
        <v>4.0</v>
      </c>
      <c r="E60" s="4">
        <f t="shared" si="1"/>
        <v>2</v>
      </c>
      <c r="F60" s="4">
        <v>5.6</v>
      </c>
      <c r="G60" s="4">
        <f t="shared" si="4"/>
        <v>8.5</v>
      </c>
      <c r="H60" s="4" t="str">
        <f t="shared" si="3"/>
        <v>APROVADO</v>
      </c>
    </row>
    <row r="61" ht="15.75" customHeight="1">
      <c r="A61" s="3" t="s">
        <v>76</v>
      </c>
      <c r="B61" s="4" t="s">
        <v>10</v>
      </c>
      <c r="C61" s="4">
        <v>1.0</v>
      </c>
      <c r="D61" s="4">
        <v>4.0</v>
      </c>
      <c r="E61" s="4">
        <f t="shared" si="1"/>
        <v>2</v>
      </c>
      <c r="F61" s="4">
        <v>5.8</v>
      </c>
      <c r="G61" s="4">
        <f t="shared" si="4"/>
        <v>8.8</v>
      </c>
      <c r="H61" s="4" t="str">
        <f t="shared" si="3"/>
        <v>APROVADO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61">
    <cfRule type="cellIs" dxfId="0" priority="1" operator="equal">
      <formula>"APROVADO"</formula>
    </cfRule>
  </conditionalFormatting>
  <conditionalFormatting sqref="H2:H61">
    <cfRule type="cellIs" dxfId="1" priority="2" operator="equal">
      <formula>"REPROVADO"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41.25" customHeight="1">
      <c r="A1" s="5" t="s">
        <v>11</v>
      </c>
      <c r="B1" s="6"/>
    </row>
    <row r="2" ht="15.75" customHeight="1">
      <c r="A2" s="4" t="s">
        <v>10</v>
      </c>
      <c r="B2" s="4"/>
    </row>
    <row r="3" ht="15.75" customHeight="1">
      <c r="A3" s="4" t="s">
        <v>13</v>
      </c>
      <c r="B3" s="4"/>
    </row>
    <row r="4" ht="15.75" customHeight="1">
      <c r="A4" s="4" t="s">
        <v>15</v>
      </c>
      <c r="B4" s="4"/>
    </row>
    <row r="5" ht="15.75" customHeight="1">
      <c r="A5" s="4" t="s">
        <v>16</v>
      </c>
      <c r="B5" s="4"/>
    </row>
    <row r="6" ht="15.75" customHeight="1"/>
    <row r="7" ht="15.75" customHeight="1">
      <c r="A7" s="5" t="s">
        <v>17</v>
      </c>
      <c r="B7" s="6"/>
    </row>
    <row r="8" ht="15.75" customHeight="1">
      <c r="A8" s="4" t="s">
        <v>10</v>
      </c>
      <c r="B8" s="4"/>
    </row>
    <row r="9" ht="15.75" customHeight="1">
      <c r="A9" s="4" t="s">
        <v>13</v>
      </c>
      <c r="B9" s="4"/>
    </row>
    <row r="10" ht="15.75" customHeight="1">
      <c r="A10" s="4" t="s">
        <v>15</v>
      </c>
      <c r="B10" s="4"/>
    </row>
    <row r="11" ht="15.75" customHeight="1">
      <c r="A11" s="4" t="s">
        <v>16</v>
      </c>
      <c r="B11" s="4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7:B7"/>
  </mergeCells>
  <drawing r:id="rId1"/>
</worksheet>
</file>