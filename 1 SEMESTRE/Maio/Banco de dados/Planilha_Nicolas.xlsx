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<sst xmlns="http://schemas.openxmlformats.org/spreadsheetml/2006/main" count="131" uniqueCount="51">
  <si>
    <t>ID</t>
  </si>
  <si>
    <t>NOME_COMPLETO</t>
  </si>
  <si>
    <t>idade</t>
  </si>
  <si>
    <t>EQUIPE</t>
  </si>
  <si>
    <t>FIGURINHA</t>
  </si>
  <si>
    <t>TIPO</t>
  </si>
  <si>
    <t>a</t>
  </si>
  <si>
    <t>NOME</t>
  </si>
  <si>
    <t>TOTAL</t>
  </si>
  <si>
    <t>JA TENHO</t>
  </si>
  <si>
    <t>FALTA</t>
  </si>
  <si>
    <t>PORCENTAGEM</t>
  </si>
  <si>
    <t>ADIEL</t>
  </si>
  <si>
    <t>MACH FLAS</t>
  </si>
  <si>
    <t>F</t>
  </si>
  <si>
    <t>ALUNO</t>
  </si>
  <si>
    <t>ASAPHY</t>
  </si>
  <si>
    <t>JUSTICEIROS</t>
  </si>
  <si>
    <t>BRENO</t>
  </si>
  <si>
    <t>THE BEAR</t>
  </si>
  <si>
    <t>CAUA LORENZO</t>
  </si>
  <si>
    <t>COBRA KAI</t>
  </si>
  <si>
    <t>DAVI LUCAS</t>
  </si>
  <si>
    <t>TROPA DO VTZ</t>
  </si>
  <si>
    <t>EDUARDO</t>
  </si>
  <si>
    <t>TIME EXTRA</t>
  </si>
  <si>
    <t>ELOISA</t>
  </si>
  <si>
    <t>ESDRAS</t>
  </si>
  <si>
    <t>V</t>
  </si>
  <si>
    <t>GABRIEL</t>
  </si>
  <si>
    <t>TROPA VTZ</t>
  </si>
  <si>
    <t>IGOR</t>
  </si>
  <si>
    <t>JEOVA</t>
  </si>
  <si>
    <t>JOAO MANUEL</t>
  </si>
  <si>
    <t>JOAO MARCELO</t>
  </si>
  <si>
    <t>JUAN CUNHA</t>
  </si>
  <si>
    <t>EXTRA</t>
  </si>
  <si>
    <t>JUAN PAULO</t>
  </si>
  <si>
    <t>MARCOS PAULO</t>
  </si>
  <si>
    <t>NICOLAS</t>
  </si>
  <si>
    <t>PEDRO HENRIQUE</t>
  </si>
  <si>
    <t>REBECA</t>
  </si>
  <si>
    <t>REGINALDO</t>
  </si>
  <si>
    <t>ROBSON</t>
  </si>
  <si>
    <t>VICTOR GABRIEL</t>
  </si>
  <si>
    <t>VICTOR HUGO</t>
  </si>
  <si>
    <t xml:space="preserve">Natalia </t>
  </si>
  <si>
    <t>RARA</t>
  </si>
  <si>
    <t>ESCUDERIA</t>
  </si>
  <si>
    <t>JUSTICEIRO</t>
  </si>
  <si>
    <t>TURMA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</si>
</sst>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49" xfId="0" applyAlignment="1" applyBorder="1" applyFill="1" applyFont="1" applyNumberFormat="1">
      <alignment horizontal="left" readingOrder="0" shrinkToFit="0" vertical="center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0" xfId="0" applyBorder="1" applyFont="1" applyNumberForma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5" pivot="0" name="Página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32" displayName="Tabela_1" name="Tabela_1" id="1">
  <tableColumns count="7">
    <tableColumn name="ID" id="1"/>
    <tableColumn name="NOME_COMPLETO" id="2"/>
    <tableColumn name="idade" id="3"/>
    <tableColumn name="EQUIPE" id="4"/>
    <tableColumn totalsRowFunction="custom" name="FIGURINHA" id="5"/>
    <tableColumn name="TIPO" id="6"/>
    <tableColumn name="a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3" max="3" width="16.0"/>
    <col customWidth="1" min="4" max="4" width="17.2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22.5" customHeight="1">
      <c r="A2" s="4">
        <v>1.0</v>
      </c>
      <c r="B2" s="5" t="s">
        <v>12</v>
      </c>
      <c r="C2" s="5">
        <v>16.0</v>
      </c>
      <c r="D2" s="6" t="s">
        <v>13</v>
      </c>
      <c r="E2" s="6" t="s">
        <v>14</v>
      </c>
      <c r="F2" s="6" t="s">
        <v>15</v>
      </c>
      <c r="G2" s="7"/>
      <c r="H2" s="8" t="s">
        <v>13</v>
      </c>
      <c r="I2" s="8">
        <v>4.0</v>
      </c>
      <c r="J2" s="9">
        <f t="shared" ref="J2:J7" si="1">COUNTIFS(D:D, H2, E:E, "V")
</f>
        <v>0</v>
      </c>
      <c r="K2" s="9">
        <f t="shared" ref="K2:K7" si="2">VALUE(I2)-J2
</f>
        <v>4</v>
      </c>
      <c r="L2" s="10">
        <f>COUNTIF(E:E, "V") / COUNTIFS(E:E, "&lt;&gt;")</f>
        <v>0.0625</v>
      </c>
    </row>
    <row r="3" ht="22.5" customHeight="1">
      <c r="A3" s="4">
        <v>2.0</v>
      </c>
      <c r="B3" s="5" t="s">
        <v>16</v>
      </c>
      <c r="C3" s="5">
        <v>16.0</v>
      </c>
      <c r="D3" s="6" t="s">
        <v>17</v>
      </c>
      <c r="E3" s="6" t="s">
        <v>14</v>
      </c>
      <c r="F3" s="6" t="s">
        <v>15</v>
      </c>
      <c r="G3" s="7"/>
      <c r="H3" s="8" t="s">
        <v>17</v>
      </c>
      <c r="I3" s="8">
        <v>4.0</v>
      </c>
      <c r="J3" s="9">
        <f t="shared" si="1"/>
        <v>1</v>
      </c>
      <c r="K3" s="9">
        <f t="shared" si="2"/>
        <v>3</v>
      </c>
      <c r="L3" s="9"/>
    </row>
    <row r="4" ht="22.5" customHeight="1">
      <c r="A4" s="4">
        <v>3.0</v>
      </c>
      <c r="B4" s="5" t="s">
        <v>18</v>
      </c>
      <c r="C4" s="5">
        <v>16.0</v>
      </c>
      <c r="D4" s="6" t="s">
        <v>19</v>
      </c>
      <c r="E4" s="6" t="s">
        <v>14</v>
      </c>
      <c r="F4" s="6" t="s">
        <v>15</v>
      </c>
      <c r="G4" s="7"/>
      <c r="H4" s="8" t="s">
        <v>19</v>
      </c>
      <c r="I4" s="8">
        <v>3.0</v>
      </c>
      <c r="J4" s="9">
        <f t="shared" si="1"/>
        <v>0</v>
      </c>
      <c r="K4" s="9">
        <f t="shared" si="2"/>
        <v>3</v>
      </c>
      <c r="L4" s="9"/>
    </row>
    <row r="5" ht="22.5" customHeight="1">
      <c r="A5" s="4">
        <v>4.0</v>
      </c>
      <c r="B5" s="5" t="s">
        <v>20</v>
      </c>
      <c r="C5" s="5">
        <v>16.0</v>
      </c>
      <c r="D5" s="6" t="s">
        <v>21</v>
      </c>
      <c r="E5" s="6" t="s">
        <v>14</v>
      </c>
      <c r="F5" s="6" t="s">
        <v>15</v>
      </c>
      <c r="G5" s="7"/>
      <c r="H5" s="8" t="s">
        <v>21</v>
      </c>
      <c r="I5" s="8">
        <v>5.0</v>
      </c>
      <c r="J5" s="9">
        <f t="shared" si="1"/>
        <v>0</v>
      </c>
      <c r="K5" s="9">
        <f t="shared" si="2"/>
        <v>5</v>
      </c>
      <c r="L5" s="9"/>
    </row>
    <row r="6" ht="22.5" customHeight="1">
      <c r="A6" s="4">
        <v>5.0</v>
      </c>
      <c r="B6" s="5" t="s">
        <v>22</v>
      </c>
      <c r="C6" s="5">
        <v>16.0</v>
      </c>
      <c r="D6" s="6" t="s">
        <v>19</v>
      </c>
      <c r="E6" s="6" t="s">
        <v>14</v>
      </c>
      <c r="F6" s="6" t="s">
        <v>15</v>
      </c>
      <c r="G6" s="7"/>
      <c r="H6" s="8" t="s">
        <v>23</v>
      </c>
      <c r="I6" s="8">
        <v>5.0</v>
      </c>
      <c r="J6" s="9">
        <f t="shared" si="1"/>
        <v>0</v>
      </c>
      <c r="K6" s="9">
        <f t="shared" si="2"/>
        <v>5</v>
      </c>
      <c r="L6" s="9"/>
    </row>
    <row r="7" ht="22.5" customHeight="1">
      <c r="A7" s="4">
        <v>6.0</v>
      </c>
      <c r="B7" s="5" t="s">
        <v>24</v>
      </c>
      <c r="C7" s="5">
        <v>16.0</v>
      </c>
      <c r="D7" s="6" t="s">
        <v>17</v>
      </c>
      <c r="E7" s="6" t="s">
        <v>14</v>
      </c>
      <c r="F7" s="6" t="s">
        <v>15</v>
      </c>
      <c r="G7" s="7"/>
      <c r="H7" s="8" t="s">
        <v>25</v>
      </c>
      <c r="I7" s="8">
        <v>2.0</v>
      </c>
      <c r="J7" s="9">
        <f t="shared" si="1"/>
        <v>0</v>
      </c>
      <c r="K7" s="9">
        <f t="shared" si="2"/>
        <v>2</v>
      </c>
      <c r="L7" s="9"/>
    </row>
    <row r="8" ht="22.5" customHeight="1">
      <c r="A8" s="4">
        <v>7.0</v>
      </c>
      <c r="B8" s="5" t="s">
        <v>26</v>
      </c>
      <c r="C8" s="5">
        <v>16.0</v>
      </c>
      <c r="D8" s="6" t="s">
        <v>21</v>
      </c>
      <c r="E8" s="6" t="s">
        <v>14</v>
      </c>
      <c r="F8" s="6" t="s">
        <v>15</v>
      </c>
      <c r="G8" s="7"/>
      <c r="H8" s="9"/>
      <c r="I8" s="9">
        <f>SUM(I2:I7)</f>
        <v>23</v>
      </c>
      <c r="J8" s="9"/>
      <c r="K8" s="9"/>
      <c r="L8" s="9"/>
    </row>
    <row r="9" ht="22.5" customHeight="1">
      <c r="A9" s="4">
        <v>8.0</v>
      </c>
      <c r="B9" s="5" t="s">
        <v>27</v>
      </c>
      <c r="C9" s="5">
        <v>16.0</v>
      </c>
      <c r="D9" s="6" t="s">
        <v>17</v>
      </c>
      <c r="E9" s="6" t="s">
        <v>28</v>
      </c>
      <c r="F9" s="6" t="s">
        <v>15</v>
      </c>
      <c r="G9" s="7"/>
      <c r="H9" s="9"/>
      <c r="I9" s="9"/>
      <c r="J9" s="9"/>
      <c r="K9" s="9"/>
      <c r="L9" s="9"/>
    </row>
    <row r="10" ht="22.5" customHeight="1">
      <c r="A10" s="4">
        <v>9.0</v>
      </c>
      <c r="B10" s="5" t="s">
        <v>29</v>
      </c>
      <c r="C10" s="5">
        <v>16.0</v>
      </c>
      <c r="D10" s="6" t="s">
        <v>30</v>
      </c>
      <c r="E10" s="6" t="s">
        <v>14</v>
      </c>
      <c r="F10" s="6" t="s">
        <v>15</v>
      </c>
      <c r="G10" s="7"/>
      <c r="H10" s="9"/>
      <c r="I10" s="9"/>
      <c r="J10" s="9"/>
      <c r="K10" s="9"/>
      <c r="L10" s="9"/>
    </row>
    <row r="11" ht="22.5" customHeight="1">
      <c r="A11" s="4">
        <v>10.0</v>
      </c>
      <c r="B11" s="5" t="s">
        <v>31</v>
      </c>
      <c r="C11" s="5">
        <v>16.0</v>
      </c>
      <c r="D11" s="6" t="s">
        <v>17</v>
      </c>
      <c r="E11" s="6" t="s">
        <v>14</v>
      </c>
      <c r="F11" s="6" t="s">
        <v>15</v>
      </c>
      <c r="G11" s="7"/>
      <c r="H11" s="9"/>
      <c r="I11" s="9"/>
      <c r="J11" s="9"/>
      <c r="K11" s="9"/>
      <c r="L11" s="9"/>
    </row>
    <row r="12" ht="22.5" customHeight="1">
      <c r="A12" s="4">
        <v>11.0</v>
      </c>
      <c r="B12" s="5" t="s">
        <v>32</v>
      </c>
      <c r="C12" s="5">
        <v>16.0</v>
      </c>
      <c r="D12" s="6" t="s">
        <v>21</v>
      </c>
      <c r="E12" s="6" t="s">
        <v>14</v>
      </c>
      <c r="F12" s="6" t="s">
        <v>15</v>
      </c>
      <c r="G12" s="7"/>
      <c r="H12" s="9"/>
      <c r="I12" s="9"/>
      <c r="J12" s="9"/>
      <c r="K12" s="9"/>
      <c r="L12" s="9"/>
    </row>
    <row r="13" ht="22.5" customHeight="1">
      <c r="A13" s="4">
        <v>12.0</v>
      </c>
      <c r="B13" s="5" t="s">
        <v>33</v>
      </c>
      <c r="C13" s="5">
        <v>16.0</v>
      </c>
      <c r="D13" s="6" t="s">
        <v>13</v>
      </c>
      <c r="E13" s="6" t="s">
        <v>14</v>
      </c>
      <c r="F13" s="6" t="s">
        <v>15</v>
      </c>
      <c r="G13" s="7"/>
      <c r="H13" s="9"/>
      <c r="I13" s="9"/>
      <c r="J13" s="9"/>
      <c r="K13" s="9"/>
      <c r="L13" s="9"/>
    </row>
    <row r="14" ht="22.5" customHeight="1">
      <c r="A14" s="4">
        <v>13.0</v>
      </c>
      <c r="B14" s="5" t="s">
        <v>34</v>
      </c>
      <c r="C14" s="5">
        <v>16.0</v>
      </c>
      <c r="D14" s="6" t="s">
        <v>21</v>
      </c>
      <c r="E14" s="6" t="s">
        <v>14</v>
      </c>
      <c r="F14" s="6" t="s">
        <v>15</v>
      </c>
      <c r="G14" s="7"/>
      <c r="H14" s="9"/>
      <c r="I14" s="9"/>
      <c r="J14" s="9"/>
      <c r="K14" s="9"/>
      <c r="L14" s="9"/>
    </row>
    <row r="15" ht="22.5" customHeight="1">
      <c r="A15" s="4">
        <v>14.0</v>
      </c>
      <c r="B15" s="5" t="s">
        <v>35</v>
      </c>
      <c r="C15" s="5">
        <v>16.0</v>
      </c>
      <c r="D15" s="6" t="s">
        <v>36</v>
      </c>
      <c r="E15" s="6" t="s">
        <v>14</v>
      </c>
      <c r="F15" s="6" t="s">
        <v>15</v>
      </c>
      <c r="G15" s="7"/>
      <c r="H15" s="9"/>
      <c r="I15" s="9"/>
      <c r="J15" s="9"/>
      <c r="K15" s="9"/>
      <c r="L15" s="9"/>
    </row>
    <row r="16" ht="22.5" customHeight="1">
      <c r="A16" s="4">
        <v>15.0</v>
      </c>
      <c r="B16" s="5" t="s">
        <v>37</v>
      </c>
      <c r="C16" s="5">
        <v>16.0</v>
      </c>
      <c r="D16" s="6" t="s">
        <v>21</v>
      </c>
      <c r="E16" s="6" t="s">
        <v>14</v>
      </c>
      <c r="F16" s="6" t="s">
        <v>15</v>
      </c>
      <c r="G16" s="7"/>
      <c r="H16" s="9"/>
      <c r="I16" s="9"/>
      <c r="J16" s="9"/>
      <c r="K16" s="9"/>
      <c r="L16" s="9"/>
    </row>
    <row r="17" ht="22.5" customHeight="1">
      <c r="A17" s="4">
        <v>16.0</v>
      </c>
      <c r="B17" s="5" t="s">
        <v>38</v>
      </c>
      <c r="C17" s="5">
        <v>16.0</v>
      </c>
      <c r="D17" s="6" t="s">
        <v>19</v>
      </c>
      <c r="E17" s="6" t="s">
        <v>14</v>
      </c>
      <c r="F17" s="6" t="s">
        <v>15</v>
      </c>
      <c r="G17" s="7"/>
      <c r="H17" s="9"/>
      <c r="I17" s="9"/>
      <c r="J17" s="9"/>
      <c r="K17" s="9"/>
      <c r="L17" s="9"/>
    </row>
    <row r="18" ht="22.5" customHeight="1">
      <c r="A18" s="4">
        <v>17.0</v>
      </c>
      <c r="B18" s="5" t="s">
        <v>39</v>
      </c>
      <c r="C18" s="5">
        <v>15.0</v>
      </c>
      <c r="D18" s="6" t="s">
        <v>13</v>
      </c>
      <c r="E18" s="6" t="s">
        <v>14</v>
      </c>
      <c r="F18" s="6" t="s">
        <v>15</v>
      </c>
      <c r="G18" s="7"/>
      <c r="H18" s="9"/>
      <c r="I18" s="9"/>
      <c r="J18" s="9"/>
      <c r="K18" s="9"/>
      <c r="L18" s="9"/>
    </row>
    <row r="19" ht="22.5" customHeight="1">
      <c r="A19" s="4">
        <v>18.0</v>
      </c>
      <c r="B19" s="5" t="s">
        <v>40</v>
      </c>
      <c r="C19" s="5">
        <v>16.0</v>
      </c>
      <c r="D19" s="6" t="s">
        <v>13</v>
      </c>
      <c r="E19" s="6" t="s">
        <v>14</v>
      </c>
      <c r="F19" s="6" t="s">
        <v>15</v>
      </c>
      <c r="G19" s="7"/>
      <c r="H19" s="9"/>
      <c r="I19" s="9"/>
      <c r="J19" s="9"/>
      <c r="K19" s="9"/>
      <c r="L19" s="9"/>
    </row>
    <row r="20" ht="22.5" customHeight="1">
      <c r="A20" s="4">
        <v>19.0</v>
      </c>
      <c r="B20" s="5" t="s">
        <v>41</v>
      </c>
      <c r="C20" s="5">
        <v>16.0</v>
      </c>
      <c r="D20" s="6" t="s">
        <v>36</v>
      </c>
      <c r="E20" s="6" t="s">
        <v>14</v>
      </c>
      <c r="F20" s="6" t="s">
        <v>15</v>
      </c>
      <c r="G20" s="7"/>
      <c r="H20" s="9"/>
      <c r="I20" s="9"/>
      <c r="J20" s="9"/>
      <c r="K20" s="9"/>
      <c r="L20" s="9"/>
    </row>
    <row r="21" ht="22.5" customHeight="1">
      <c r="A21" s="4">
        <v>20.0</v>
      </c>
      <c r="B21" s="5" t="s">
        <v>42</v>
      </c>
      <c r="C21" s="5">
        <v>15.0</v>
      </c>
      <c r="D21" s="6" t="s">
        <v>30</v>
      </c>
      <c r="E21" s="6" t="s">
        <v>14</v>
      </c>
      <c r="F21" s="6" t="s">
        <v>15</v>
      </c>
      <c r="G21" s="7"/>
      <c r="H21" s="9"/>
      <c r="I21" s="9"/>
      <c r="J21" s="9"/>
      <c r="K21" s="9"/>
      <c r="L21" s="9"/>
    </row>
    <row r="22" ht="22.5" customHeight="1">
      <c r="A22" s="4">
        <v>21.0</v>
      </c>
      <c r="B22" s="5" t="s">
        <v>43</v>
      </c>
      <c r="C22" s="5">
        <v>16.0</v>
      </c>
      <c r="D22" s="6" t="s">
        <v>30</v>
      </c>
      <c r="E22" s="6" t="s">
        <v>14</v>
      </c>
      <c r="F22" s="6" t="s">
        <v>15</v>
      </c>
      <c r="G22" s="7"/>
      <c r="H22" s="9"/>
      <c r="I22" s="9"/>
      <c r="J22" s="9"/>
      <c r="K22" s="9"/>
      <c r="L22" s="9"/>
    </row>
    <row r="23" ht="22.5" customHeight="1">
      <c r="A23" s="4">
        <v>22.0</v>
      </c>
      <c r="B23" s="5" t="s">
        <v>44</v>
      </c>
      <c r="C23" s="5">
        <v>16.0</v>
      </c>
      <c r="D23" s="6" t="s">
        <v>30</v>
      </c>
      <c r="E23" s="6" t="s">
        <v>14</v>
      </c>
      <c r="F23" s="6" t="s">
        <v>15</v>
      </c>
      <c r="G23" s="7"/>
      <c r="H23" s="9"/>
      <c r="I23" s="9"/>
      <c r="J23" s="9"/>
      <c r="K23" s="9"/>
      <c r="L23" s="9"/>
    </row>
    <row r="24" ht="22.5" customHeight="1">
      <c r="A24" s="4">
        <v>23.0</v>
      </c>
      <c r="B24" s="5" t="s">
        <v>45</v>
      </c>
      <c r="C24" s="5">
        <v>16.0</v>
      </c>
      <c r="D24" s="6" t="s">
        <v>30</v>
      </c>
      <c r="E24" s="6" t="s">
        <v>14</v>
      </c>
      <c r="F24" s="6" t="s">
        <v>15</v>
      </c>
      <c r="G24" s="7"/>
      <c r="H24" s="9"/>
      <c r="I24" s="9"/>
      <c r="J24" s="9"/>
      <c r="K24" s="9"/>
      <c r="L24" s="9"/>
    </row>
    <row r="25" ht="22.5" customHeight="1">
      <c r="A25" s="4">
        <v>24.0</v>
      </c>
      <c r="B25" s="5" t="s">
        <v>46</v>
      </c>
      <c r="C25" s="5"/>
      <c r="D25" s="6"/>
      <c r="E25" s="6" t="s">
        <v>14</v>
      </c>
      <c r="F25" s="6" t="s">
        <v>47</v>
      </c>
      <c r="G25" s="7"/>
      <c r="H25" s="9"/>
      <c r="I25" s="9"/>
      <c r="J25" s="9"/>
      <c r="K25" s="9"/>
      <c r="L25" s="9"/>
    </row>
    <row r="26" ht="22.5" customHeight="1">
      <c r="A26" s="4">
        <v>25.0</v>
      </c>
      <c r="B26" s="5" t="s">
        <v>30</v>
      </c>
      <c r="C26" s="5"/>
      <c r="D26" s="6"/>
      <c r="E26" s="6" t="s">
        <v>14</v>
      </c>
      <c r="F26" s="6" t="s">
        <v>48</v>
      </c>
      <c r="G26" s="7"/>
      <c r="H26" s="9"/>
      <c r="I26" s="9"/>
      <c r="J26" s="9"/>
      <c r="K26" s="9"/>
      <c r="L26" s="9"/>
    </row>
    <row r="27" ht="22.5" customHeight="1">
      <c r="A27" s="4">
        <v>26.0</v>
      </c>
      <c r="B27" s="5" t="s">
        <v>13</v>
      </c>
      <c r="C27" s="5"/>
      <c r="D27" s="6"/>
      <c r="E27" s="6" t="s">
        <v>14</v>
      </c>
      <c r="F27" s="6" t="s">
        <v>48</v>
      </c>
      <c r="G27" s="7"/>
      <c r="H27" s="9"/>
      <c r="I27" s="9"/>
      <c r="J27" s="9"/>
      <c r="K27" s="9"/>
      <c r="L27" s="9"/>
    </row>
    <row r="28" ht="22.5" customHeight="1">
      <c r="A28" s="4">
        <v>27.0</v>
      </c>
      <c r="B28" s="5" t="s">
        <v>49</v>
      </c>
      <c r="C28" s="5"/>
      <c r="D28" s="6"/>
      <c r="E28" s="6" t="s">
        <v>28</v>
      </c>
      <c r="F28" s="6" t="s">
        <v>48</v>
      </c>
      <c r="G28" s="7"/>
      <c r="H28" s="9"/>
      <c r="I28" s="9"/>
      <c r="J28" s="9"/>
      <c r="K28" s="9"/>
      <c r="L28" s="9"/>
    </row>
    <row r="29" ht="22.5" customHeight="1">
      <c r="A29" s="4">
        <v>28.0</v>
      </c>
      <c r="B29" s="5" t="s">
        <v>19</v>
      </c>
      <c r="C29" s="5"/>
      <c r="D29" s="6"/>
      <c r="E29" s="6" t="s">
        <v>14</v>
      </c>
      <c r="F29" s="6" t="s">
        <v>48</v>
      </c>
      <c r="G29" s="7"/>
      <c r="H29" s="9"/>
      <c r="I29" s="9"/>
      <c r="J29" s="9"/>
      <c r="K29" s="9"/>
      <c r="L29" s="9"/>
    </row>
    <row r="30" ht="22.5" customHeight="1">
      <c r="A30" s="4">
        <v>29.0</v>
      </c>
      <c r="B30" s="5" t="s">
        <v>21</v>
      </c>
      <c r="C30" s="5"/>
      <c r="D30" s="6"/>
      <c r="E30" s="6" t="s">
        <v>14</v>
      </c>
      <c r="F30" s="6" t="s">
        <v>48</v>
      </c>
      <c r="G30" s="7"/>
      <c r="H30" s="9"/>
      <c r="I30" s="9"/>
      <c r="J30" s="9"/>
      <c r="K30" s="9"/>
      <c r="L30" s="9"/>
    </row>
    <row r="31" ht="22.5" customHeight="1">
      <c r="A31" s="4">
        <v>30.0</v>
      </c>
      <c r="B31" s="5" t="s">
        <v>50</v>
      </c>
      <c r="C31" s="5"/>
      <c r="D31" s="6"/>
      <c r="E31" s="6" t="s">
        <v>14</v>
      </c>
      <c r="F31" s="6" t="s">
        <v>47</v>
      </c>
      <c r="G31" s="7"/>
      <c r="H31" s="9"/>
      <c r="I31" s="9"/>
      <c r="J31" s="9"/>
      <c r="K31" s="9"/>
      <c r="L31" s="9"/>
    </row>
    <row r="32" ht="22.5" customHeight="1">
      <c r="A32" s="11"/>
      <c r="B32" s="11"/>
      <c r="C32" s="11"/>
      <c r="D32" s="11"/>
      <c r="E32" s="11" t="str">
        <f>IF(Tabela_1[FIGURINHA] = V)</f>
        <v>#N/A</v>
      </c>
      <c r="F32" s="11"/>
      <c r="G32" s="11"/>
    </row>
  </sheetData>
  <conditionalFormatting sqref="H2:H7">
    <cfRule type="notContainsBlanks" dxfId="6" priority="1">
      <formula>LEN(TRIM(H2))&gt;0</formula>
    </cfRule>
  </conditionalFormatting>
  <dataValidations>
    <dataValidation type="list" allowBlank="1" sqref="F2:F31">
      <formula1>"ALUNO,RARA,ESCUDERIA"</formula1>
    </dataValidation>
    <dataValidation type="list" allowBlank="1" sqref="E2:E31">
      <formula1>"V,F"</formula1>
    </dataValidation>
    <dataValidation type="custom" allowBlank="1" showDropDown="1" sqref="A2:A31">
      <formula1>AND(ISNUMBER(A2),(NOT(OR(NOT(ISERROR(DATEVALUE(A2))), AND(ISNUMBER(A2), LEFT(CELL("format", A2))="D")))))</formula1>
    </dataValidation>
    <dataValidation type="list" allowBlank="1" sqref="D2:D31">
      <formula1>"MACH FLAS,JUSTICEIROS,THE BEAR,COBRA KAI,TROPA VTZ,EXTRA"</formula1>
    </dataValidation>
  </dataValidations>
  <drawing r:id="rId1"/>
  <tableParts count="1">
    <tablePart r:id="rId3"/>
  </tableParts>
</worksheet>
</file>