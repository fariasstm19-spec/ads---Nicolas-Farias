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igurinhas" sheetId="1" r:id="rId4"/>
    <sheet state="visible" name="A" sheetId="2" r:id="rId5"/>
  </sheets>
  <definedNames/>
  <calcPr/>
  <extLst>
    <ext uri="GoogleSheetsCustomDataVersion2">
      <go:sheetsCustomData xmlns:go="http://customooxmlschemas.google.com/" r:id="rId6" roundtripDataChecksum="mxcidh/YPDC/E7hunczfIPMTktXWYwsj6c0mIhBHC5c="/>
    </ext>
  </extLst>
</workbook>
</file>

<file path=xl/sharedStrings.xml><?xml version="1.0" encoding="utf-8"?>
<sst xmlns="http://schemas.openxmlformats.org/spreadsheetml/2006/main" count="171" uniqueCount="68">
  <si>
    <t>ID</t>
  </si>
  <si>
    <t>NOME_COMPLETO</t>
  </si>
  <si>
    <t>idade</t>
  </si>
  <si>
    <t>EQUIPE</t>
  </si>
  <si>
    <t>FIGURINHA</t>
  </si>
  <si>
    <t>TIPO</t>
  </si>
  <si>
    <t>a</t>
  </si>
  <si>
    <t>NOME</t>
  </si>
  <si>
    <t>TOTAL</t>
  </si>
  <si>
    <t>JA TENHO</t>
  </si>
  <si>
    <t>FALTA</t>
  </si>
  <si>
    <t>PORCENTAGEM</t>
  </si>
  <si>
    <t>ADIEL</t>
  </si>
  <si>
    <t>MACH FLAS</t>
  </si>
  <si>
    <t>F</t>
  </si>
  <si>
    <t>ALUNO</t>
  </si>
  <si>
    <t>ASAPHY</t>
  </si>
  <si>
    <t>JUSTICEIROS</t>
  </si>
  <si>
    <t>BRENO</t>
  </si>
  <si>
    <t>THE BEAR</t>
  </si>
  <si>
    <t>CAUA LORENZO</t>
  </si>
  <si>
    <t>COBRA KAI</t>
  </si>
  <si>
    <t>DAVI LUCAS</t>
  </si>
  <si>
    <t>TROPA DO VTZ</t>
  </si>
  <si>
    <t>EDUARDO</t>
  </si>
  <si>
    <t>TIME EXTRA</t>
  </si>
  <si>
    <t>ELOISA</t>
  </si>
  <si>
    <t>ESDRAS</t>
  </si>
  <si>
    <t>V</t>
  </si>
  <si>
    <t>GABRIEL</t>
  </si>
  <si>
    <t>TROPA VTZ</t>
  </si>
  <si>
    <t>IGOR</t>
  </si>
  <si>
    <t>JEOVA</t>
  </si>
  <si>
    <t>JOAO MANUEL</t>
  </si>
  <si>
    <t>JOAO MARCELO</t>
  </si>
  <si>
    <t>JUAN CUNHA</t>
  </si>
  <si>
    <t>EXTRA</t>
  </si>
  <si>
    <t>JUAN PAULO</t>
  </si>
  <si>
    <t>MARCOS PAULO</t>
  </si>
  <si>
    <t>NICOLAS</t>
  </si>
  <si>
    <t>PEDRO HENRIQUE</t>
  </si>
  <si>
    <t>REBECA</t>
  </si>
  <si>
    <t>REGINALDO</t>
  </si>
  <si>
    <t>ROBSON</t>
  </si>
  <si>
    <t>VICTOR GABRIEL</t>
  </si>
  <si>
    <t>VICTOR HUGO</t>
  </si>
  <si>
    <t xml:space="preserve">Natalia </t>
  </si>
  <si>
    <t>RARA</t>
  </si>
  <si>
    <t>ESCUDERIA</t>
  </si>
  <si>
    <t>JUSTICEIRO</t>
  </si>
  <si>
    <t>TURMA</t>
  </si>
  <si>
    <t>EQUIPES</t>
  </si>
  <si>
    <t xml:space="preserve"> id_equipe</t>
  </si>
  <si>
    <t>nome_equipe</t>
  </si>
  <si>
    <t>cor_equipe</t>
  </si>
  <si>
    <t xml:space="preserve"> total_integrantes</t>
  </si>
  <si>
    <t xml:space="preserve"> tamanho_equipe</t>
  </si>
  <si>
    <t>A</t>
  </si>
  <si>
    <t>B</t>
  </si>
  <si>
    <t>C</t>
  </si>
  <si>
    <t>D</t>
  </si>
  <si>
    <t>E</t>
  </si>
  <si>
    <t>VERMELHO</t>
  </si>
  <si>
    <t>AZUL</t>
  </si>
  <si>
    <t>MARROM</t>
  </si>
  <si>
    <t>CINZA</t>
  </si>
  <si>
    <t>ROXO</t>
  </si>
  <si>
    <t>AMARELO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</si>
</sst>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color theme="1"/>
      <name val="Arial"/>
    </font>
    <font>
      <b/>
      <sz val="21.0"/>
      <color theme="1"/>
      <name val="Arial"/>
      <scheme val="minor"/>
    </font>
    <font/>
    <font>
      <b/>
      <sz val="13.0"/>
      <color theme="1"/>
      <name val="Arial"/>
      <scheme val="minor"/>
    </font>
    <font>
      <b/>
      <sz val="13.0"/>
      <color rgb="FF000000"/>
      <name val="Arial"/>
    </font>
    <font>
      <color theme="1"/>
      <name val="Arial"/>
      <scheme val="minor"/>
    </font>
  </fonts>
  <fills count="12">
    <fill>
      <patternFill patternType="none"/>
    </fill>
    <fill>
      <patternFill patternType="lightGray"/>
    </fill>
    <fill>
      <patternFill patternType="solid">
        <fgColor rgb="FF38761D"/>
        <bgColor rgb="FF38761D"/>
      </patternFill>
    </fill>
    <fill>
      <patternFill patternType="solid">
        <fgColor rgb="FF274E13"/>
        <bgColor rgb="FF274E13"/>
      </patternFill>
    </fill>
    <fill>
      <patternFill patternType="solid">
        <fgColor rgb="FFFFFFFF"/>
        <bgColor rgb="FFFFFFFF"/>
      </patternFill>
    </fill>
    <fill>
      <patternFill patternType="solid">
        <fgColor rgb="FF93C47D"/>
        <bgColor rgb="FF93C47D"/>
      </patternFill>
    </fill>
    <fill>
      <patternFill patternType="solid">
        <fgColor rgb="FFFF0000"/>
        <bgColor rgb="FFFF0000"/>
      </patternFill>
    </fill>
    <fill>
      <patternFill patternType="solid">
        <fgColor rgb="FF0000FF"/>
        <bgColor rgb="FF0000FF"/>
      </patternFill>
    </fill>
    <fill>
      <patternFill patternType="solid">
        <fgColor rgb="FF7F6000"/>
        <bgColor rgb="FF7F6000"/>
      </patternFill>
    </fill>
    <fill>
      <patternFill patternType="solid">
        <fgColor rgb="FF434343"/>
        <bgColor rgb="FF434343"/>
      </patternFill>
    </fill>
    <fill>
      <patternFill patternType="solid">
        <fgColor rgb="FF351C75"/>
        <bgColor rgb="FF351C75"/>
      </patternFill>
    </fill>
    <fill>
      <patternFill patternType="solid">
        <fgColor rgb="FFFFFF00"/>
        <bgColor rgb="FFFFFF00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shrinkToFit="0" vertical="center" wrapText="0"/>
    </xf>
    <xf borderId="1" fillId="2" fontId="1" numFmtId="49" xfId="0" applyAlignment="1" applyBorder="1" applyFont="1" applyNumberFormat="1">
      <alignment horizontal="left" shrinkToFit="0" vertical="center" wrapText="0"/>
    </xf>
    <xf borderId="1" fillId="2" fontId="1" numFmtId="0" xfId="0" applyBorder="1" applyFont="1"/>
    <xf borderId="1" fillId="0" fontId="1" numFmtId="0" xfId="0" applyAlignment="1" applyBorder="1" applyFont="1">
      <alignment shrinkToFit="0" vertical="center" wrapText="0"/>
    </xf>
    <xf borderId="1" fillId="0" fontId="1" numFmtId="0" xfId="0" applyBorder="1" applyFont="1"/>
    <xf borderId="1" fillId="0" fontId="1" numFmtId="10" xfId="0" applyBorder="1" applyFont="1" applyNumberFormat="1"/>
    <xf borderId="0" fillId="0" fontId="1" numFmtId="0" xfId="0" applyAlignment="1" applyFont="1">
      <alignment shrinkToFit="0" vertical="center" wrapText="0"/>
    </xf>
    <xf borderId="2" fillId="3" fontId="2" numFmtId="0" xfId="0" applyAlignment="1" applyBorder="1" applyFill="1" applyFont="1">
      <alignment horizontal="center" readingOrder="0" vertical="center"/>
    </xf>
    <xf borderId="3" fillId="0" fontId="3" numFmtId="0" xfId="0" applyBorder="1" applyFont="1"/>
    <xf borderId="4" fillId="0" fontId="3" numFmtId="0" xfId="0" applyBorder="1" applyFont="1"/>
    <xf borderId="0" fillId="4" fontId="4" numFmtId="0" xfId="0" applyAlignment="1" applyFill="1" applyFont="1">
      <alignment horizontal="center" readingOrder="0" vertical="center"/>
    </xf>
    <xf borderId="1" fillId="2" fontId="4" numFmtId="0" xfId="0" applyAlignment="1" applyBorder="1" applyFont="1">
      <alignment horizontal="center" readingOrder="0" vertical="center"/>
    </xf>
    <xf borderId="1" fillId="2" fontId="5" numFmtId="0" xfId="0" applyAlignment="1" applyBorder="1" applyFont="1">
      <alignment horizontal="center" readingOrder="0" vertical="center"/>
    </xf>
    <xf borderId="0" fillId="4" fontId="6" numFmtId="0" xfId="0" applyFont="1"/>
    <xf borderId="1" fillId="5" fontId="6" numFmtId="0" xfId="0" applyAlignment="1" applyBorder="1" applyFill="1" applyFont="1">
      <alignment readingOrder="0"/>
    </xf>
    <xf borderId="1" fillId="5" fontId="6" numFmtId="0" xfId="0" applyBorder="1" applyFont="1"/>
    <xf borderId="1" fillId="6" fontId="6" numFmtId="0" xfId="0" applyBorder="1" applyFill="1" applyFont="1"/>
    <xf borderId="1" fillId="7" fontId="6" numFmtId="0" xfId="0" applyBorder="1" applyFill="1" applyFont="1"/>
    <xf borderId="1" fillId="8" fontId="6" numFmtId="0" xfId="0" applyBorder="1" applyFill="1" applyFont="1"/>
    <xf borderId="1" fillId="9" fontId="6" numFmtId="0" xfId="0" applyBorder="1" applyFill="1" applyFont="1"/>
    <xf borderId="1" fillId="10" fontId="6" numFmtId="0" xfId="0" applyBorder="1" applyFill="1" applyFont="1"/>
    <xf borderId="1" fillId="11" fontId="6" numFmtId="0" xfId="0" applyBorder="1" applyFill="1" applyFont="1"/>
    <xf borderId="0" fillId="4" fontId="6" numFmtId="0" xfId="0" applyAlignment="1" applyFont="1">
      <alignment readingOrder="0"/>
    </xf>
    <xf borderId="0" fillId="0" fontId="6" numFmtId="0" xfId="0" applyFont="1"/>
  </cellXfs>
  <cellStyles count="1">
    <cellStyle xfId="0" name="Normal" builtinId="0"/>
  </cellStyles>
  <dxfs count="9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font/>
      <fill>
        <patternFill patternType="solid">
          <fgColor rgb="FFCCD9D4"/>
          <bgColor rgb="FFCCD9D4"/>
        </patternFill>
      </fill>
      <border/>
    </dxf>
    <dxf>
      <font/>
      <fill>
        <patternFill patternType="solid">
          <fgColor rgb="FFB7E1CD"/>
          <bgColor rgb="FFB7E1CD"/>
        </patternFill>
      </fill>
      <border/>
    </dxf>
    <dxf>
      <font/>
      <fill>
        <patternFill patternType="solid">
          <fgColor rgb="FFFFFF00"/>
          <bgColor rgb="FFFFFF00"/>
        </patternFill>
      </fill>
      <border/>
    </dxf>
    <dxf>
      <font/>
      <fill>
        <patternFill patternType="solid">
          <fgColor rgb="FF980000"/>
          <bgColor rgb="FF980000"/>
        </patternFill>
      </fill>
      <border/>
    </dxf>
    <dxf>
      <font/>
      <fill>
        <patternFill patternType="solid">
          <fgColor rgb="FF00FF00"/>
          <bgColor rgb="FF00FF00"/>
        </patternFill>
      </fill>
      <border/>
    </dxf>
  </dxfs>
  <tableStyles count="1">
    <tableStyle count="4" pivot="0" name="figurinhas-style">
      <tableStyleElement dxfId="1" type="headerRow"/>
      <tableStyleElement dxfId="2" type="firstRowStripe"/>
      <tableStyleElement dxfId="3" type="secondRowStripe"/>
      <tableStyleElement dxfId="4" type="totalRow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totalsRowCount="1" ref="A1:G32" displayName="Table_1" name="Table_1" id="1">
  <tableColumns count="7">
    <tableColumn name="ID" id="1"/>
    <tableColumn name="NOME_COMPLETO" id="2"/>
    <tableColumn name="idade" id="3"/>
    <tableColumn name="EQUIPE" id="4"/>
    <tableColumn totalsRowFunction="custom" name="FIGURINHA" id="5"/>
    <tableColumn name="TIPO" id="6"/>
    <tableColumn name="a" id="7"/>
  </tableColumns>
  <tableStyleInfo name="figurinhas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14.13"/>
    <col customWidth="1" min="2" max="2" width="20.88"/>
    <col customWidth="1" min="3" max="3" width="16.0"/>
    <col customWidth="1" min="4" max="4" width="17.25"/>
    <col customWidth="1" min="5" max="5" width="21.13"/>
    <col customWidth="1" min="6" max="6" width="20.88"/>
  </cols>
  <sheetData>
    <row r="1" ht="22.5" customHeight="1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</row>
    <row r="2" ht="22.5" customHeight="1">
      <c r="A2" s="4">
        <v>1.0</v>
      </c>
      <c r="B2" s="4" t="s">
        <v>12</v>
      </c>
      <c r="C2" s="4">
        <v>16.0</v>
      </c>
      <c r="D2" s="4" t="s">
        <v>13</v>
      </c>
      <c r="E2" s="4" t="s">
        <v>14</v>
      </c>
      <c r="F2" s="4" t="s">
        <v>15</v>
      </c>
      <c r="G2" s="4"/>
      <c r="H2" s="5" t="s">
        <v>13</v>
      </c>
      <c r="I2" s="5">
        <v>4.0</v>
      </c>
      <c r="J2" s="5">
        <f t="shared" ref="J2:J7" si="1">COUNTIFS(D:D, H2, E:E, "V")
</f>
        <v>0</v>
      </c>
      <c r="K2" s="5">
        <f t="shared" ref="K2:K7" si="2">VALUE(I2)-J2
</f>
        <v>4</v>
      </c>
      <c r="L2" s="6">
        <f>COUNTIF(E:E, "V") / COUNTIFS(E:E, "&lt;&gt;")</f>
        <v>0.05128205128</v>
      </c>
    </row>
    <row r="3" ht="22.5" customHeight="1">
      <c r="A3" s="4">
        <v>2.0</v>
      </c>
      <c r="B3" s="4" t="s">
        <v>16</v>
      </c>
      <c r="C3" s="4">
        <v>16.0</v>
      </c>
      <c r="D3" s="4" t="s">
        <v>17</v>
      </c>
      <c r="E3" s="4" t="s">
        <v>14</v>
      </c>
      <c r="F3" s="4" t="s">
        <v>15</v>
      </c>
      <c r="G3" s="4"/>
      <c r="H3" s="5" t="s">
        <v>17</v>
      </c>
      <c r="I3" s="5">
        <v>4.0</v>
      </c>
      <c r="J3" s="5">
        <f t="shared" si="1"/>
        <v>1</v>
      </c>
      <c r="K3" s="5">
        <f t="shared" si="2"/>
        <v>3</v>
      </c>
      <c r="L3" s="5"/>
    </row>
    <row r="4" ht="22.5" customHeight="1">
      <c r="A4" s="4">
        <v>3.0</v>
      </c>
      <c r="B4" s="4" t="s">
        <v>18</v>
      </c>
      <c r="C4" s="4">
        <v>16.0</v>
      </c>
      <c r="D4" s="4" t="s">
        <v>19</v>
      </c>
      <c r="E4" s="4" t="s">
        <v>14</v>
      </c>
      <c r="F4" s="4" t="s">
        <v>15</v>
      </c>
      <c r="G4" s="4"/>
      <c r="H4" s="5" t="s">
        <v>19</v>
      </c>
      <c r="I4" s="5">
        <v>3.0</v>
      </c>
      <c r="J4" s="5">
        <f t="shared" si="1"/>
        <v>0</v>
      </c>
      <c r="K4" s="5">
        <f t="shared" si="2"/>
        <v>3</v>
      </c>
      <c r="L4" s="5"/>
    </row>
    <row r="5" ht="22.5" customHeight="1">
      <c r="A5" s="4">
        <v>4.0</v>
      </c>
      <c r="B5" s="4" t="s">
        <v>20</v>
      </c>
      <c r="C5" s="4">
        <v>16.0</v>
      </c>
      <c r="D5" s="4" t="s">
        <v>21</v>
      </c>
      <c r="E5" s="4" t="s">
        <v>14</v>
      </c>
      <c r="F5" s="4" t="s">
        <v>15</v>
      </c>
      <c r="G5" s="4"/>
      <c r="H5" s="5" t="s">
        <v>21</v>
      </c>
      <c r="I5" s="5">
        <v>5.0</v>
      </c>
      <c r="J5" s="5">
        <f t="shared" si="1"/>
        <v>0</v>
      </c>
      <c r="K5" s="5">
        <f t="shared" si="2"/>
        <v>5</v>
      </c>
      <c r="L5" s="5"/>
    </row>
    <row r="6" ht="22.5" customHeight="1">
      <c r="A6" s="4">
        <v>5.0</v>
      </c>
      <c r="B6" s="4" t="s">
        <v>22</v>
      </c>
      <c r="C6" s="4">
        <v>16.0</v>
      </c>
      <c r="D6" s="4" t="s">
        <v>19</v>
      </c>
      <c r="E6" s="4" t="s">
        <v>14</v>
      </c>
      <c r="F6" s="4" t="s">
        <v>15</v>
      </c>
      <c r="G6" s="4"/>
      <c r="H6" s="5" t="s">
        <v>23</v>
      </c>
      <c r="I6" s="5">
        <v>5.0</v>
      </c>
      <c r="J6" s="5">
        <f t="shared" si="1"/>
        <v>0</v>
      </c>
      <c r="K6" s="5">
        <f t="shared" si="2"/>
        <v>5</v>
      </c>
      <c r="L6" s="5"/>
    </row>
    <row r="7" ht="22.5" customHeight="1">
      <c r="A7" s="4">
        <v>6.0</v>
      </c>
      <c r="B7" s="4" t="s">
        <v>24</v>
      </c>
      <c r="C7" s="4">
        <v>16.0</v>
      </c>
      <c r="D7" s="4" t="s">
        <v>17</v>
      </c>
      <c r="E7" s="4" t="s">
        <v>14</v>
      </c>
      <c r="F7" s="4" t="s">
        <v>15</v>
      </c>
      <c r="G7" s="4"/>
      <c r="H7" s="5" t="s">
        <v>25</v>
      </c>
      <c r="I7" s="5">
        <v>2.0</v>
      </c>
      <c r="J7" s="5">
        <f t="shared" si="1"/>
        <v>0</v>
      </c>
      <c r="K7" s="5">
        <f t="shared" si="2"/>
        <v>2</v>
      </c>
      <c r="L7" s="5"/>
    </row>
    <row r="8" ht="22.5" customHeight="1">
      <c r="A8" s="4">
        <v>7.0</v>
      </c>
      <c r="B8" s="4" t="s">
        <v>26</v>
      </c>
      <c r="C8" s="4">
        <v>16.0</v>
      </c>
      <c r="D8" s="4" t="s">
        <v>21</v>
      </c>
      <c r="E8" s="4" t="s">
        <v>14</v>
      </c>
      <c r="F8" s="4" t="s">
        <v>15</v>
      </c>
      <c r="G8" s="4"/>
      <c r="H8" s="5"/>
      <c r="I8" s="5">
        <f>SUM(I2:I7)</f>
        <v>23</v>
      </c>
      <c r="J8" s="5"/>
      <c r="K8" s="5"/>
      <c r="L8" s="5"/>
    </row>
    <row r="9" ht="22.5" customHeight="1">
      <c r="A9" s="4">
        <v>8.0</v>
      </c>
      <c r="B9" s="4" t="s">
        <v>27</v>
      </c>
      <c r="C9" s="4">
        <v>16.0</v>
      </c>
      <c r="D9" s="4" t="s">
        <v>17</v>
      </c>
      <c r="E9" s="4" t="s">
        <v>28</v>
      </c>
      <c r="F9" s="4" t="s">
        <v>15</v>
      </c>
      <c r="G9" s="4"/>
      <c r="H9" s="5"/>
      <c r="I9" s="5"/>
      <c r="J9" s="5"/>
      <c r="K9" s="5"/>
      <c r="L9" s="5"/>
    </row>
    <row r="10" ht="22.5" customHeight="1">
      <c r="A10" s="4">
        <v>9.0</v>
      </c>
      <c r="B10" s="4" t="s">
        <v>29</v>
      </c>
      <c r="C10" s="4">
        <v>16.0</v>
      </c>
      <c r="D10" s="4" t="s">
        <v>30</v>
      </c>
      <c r="E10" s="4" t="s">
        <v>14</v>
      </c>
      <c r="F10" s="4" t="s">
        <v>15</v>
      </c>
      <c r="G10" s="4"/>
      <c r="H10" s="5"/>
      <c r="I10" s="5"/>
      <c r="J10" s="5"/>
      <c r="K10" s="5"/>
      <c r="L10" s="5"/>
    </row>
    <row r="11" ht="22.5" customHeight="1">
      <c r="A11" s="4">
        <v>10.0</v>
      </c>
      <c r="B11" s="4" t="s">
        <v>31</v>
      </c>
      <c r="C11" s="4">
        <v>16.0</v>
      </c>
      <c r="D11" s="4" t="s">
        <v>17</v>
      </c>
      <c r="E11" s="4" t="s">
        <v>14</v>
      </c>
      <c r="F11" s="4" t="s">
        <v>15</v>
      </c>
      <c r="G11" s="4"/>
      <c r="H11" s="5"/>
      <c r="I11" s="5"/>
      <c r="J11" s="5"/>
      <c r="K11" s="5"/>
      <c r="L11" s="5"/>
    </row>
    <row r="12" ht="22.5" customHeight="1">
      <c r="A12" s="4">
        <v>11.0</v>
      </c>
      <c r="B12" s="4" t="s">
        <v>32</v>
      </c>
      <c r="C12" s="4">
        <v>16.0</v>
      </c>
      <c r="D12" s="4" t="s">
        <v>21</v>
      </c>
      <c r="E12" s="4" t="s">
        <v>14</v>
      </c>
      <c r="F12" s="4" t="s">
        <v>15</v>
      </c>
      <c r="G12" s="4"/>
      <c r="H12" s="5"/>
      <c r="I12" s="5"/>
      <c r="J12" s="5"/>
      <c r="K12" s="5"/>
      <c r="L12" s="5"/>
    </row>
    <row r="13" ht="22.5" customHeight="1">
      <c r="A13" s="4">
        <v>12.0</v>
      </c>
      <c r="B13" s="4" t="s">
        <v>33</v>
      </c>
      <c r="C13" s="4">
        <v>16.0</v>
      </c>
      <c r="D13" s="4" t="s">
        <v>13</v>
      </c>
      <c r="E13" s="4" t="s">
        <v>14</v>
      </c>
      <c r="F13" s="4" t="s">
        <v>15</v>
      </c>
      <c r="G13" s="4"/>
      <c r="H13" s="5"/>
      <c r="I13" s="5"/>
      <c r="J13" s="5"/>
      <c r="K13" s="5"/>
      <c r="L13" s="5"/>
    </row>
    <row r="14" ht="22.5" customHeight="1">
      <c r="A14" s="4">
        <v>13.0</v>
      </c>
      <c r="B14" s="4" t="s">
        <v>34</v>
      </c>
      <c r="C14" s="4">
        <v>16.0</v>
      </c>
      <c r="D14" s="4" t="s">
        <v>21</v>
      </c>
      <c r="E14" s="4" t="s">
        <v>14</v>
      </c>
      <c r="F14" s="4" t="s">
        <v>15</v>
      </c>
      <c r="G14" s="4"/>
      <c r="H14" s="5"/>
      <c r="I14" s="5"/>
      <c r="J14" s="5"/>
      <c r="K14" s="5"/>
      <c r="L14" s="5"/>
    </row>
    <row r="15" ht="22.5" customHeight="1">
      <c r="A15" s="4">
        <v>14.0</v>
      </c>
      <c r="B15" s="4" t="s">
        <v>35</v>
      </c>
      <c r="C15" s="4">
        <v>16.0</v>
      </c>
      <c r="D15" s="4" t="s">
        <v>36</v>
      </c>
      <c r="E15" s="4" t="s">
        <v>14</v>
      </c>
      <c r="F15" s="4" t="s">
        <v>15</v>
      </c>
      <c r="G15" s="4"/>
      <c r="H15" s="5"/>
      <c r="I15" s="5"/>
      <c r="J15" s="5"/>
      <c r="K15" s="5"/>
      <c r="L15" s="5"/>
    </row>
    <row r="16" ht="22.5" customHeight="1">
      <c r="A16" s="4">
        <v>15.0</v>
      </c>
      <c r="B16" s="4" t="s">
        <v>37</v>
      </c>
      <c r="C16" s="4">
        <v>16.0</v>
      </c>
      <c r="D16" s="4" t="s">
        <v>21</v>
      </c>
      <c r="E16" s="4" t="s">
        <v>14</v>
      </c>
      <c r="F16" s="4" t="s">
        <v>15</v>
      </c>
      <c r="G16" s="4"/>
      <c r="H16" s="5"/>
      <c r="I16" s="5"/>
      <c r="J16" s="5"/>
      <c r="K16" s="5"/>
      <c r="L16" s="5"/>
    </row>
    <row r="17" ht="22.5" customHeight="1">
      <c r="A17" s="4">
        <v>16.0</v>
      </c>
      <c r="B17" s="4" t="s">
        <v>38</v>
      </c>
      <c r="C17" s="4">
        <v>16.0</v>
      </c>
      <c r="D17" s="4" t="s">
        <v>19</v>
      </c>
      <c r="E17" s="4" t="s">
        <v>14</v>
      </c>
      <c r="F17" s="4" t="s">
        <v>15</v>
      </c>
      <c r="G17" s="4"/>
      <c r="H17" s="5"/>
      <c r="I17" s="5"/>
      <c r="J17" s="5"/>
      <c r="K17" s="5"/>
      <c r="L17" s="5"/>
    </row>
    <row r="18" ht="22.5" customHeight="1">
      <c r="A18" s="4">
        <v>17.0</v>
      </c>
      <c r="B18" s="4" t="s">
        <v>39</v>
      </c>
      <c r="C18" s="4">
        <v>15.0</v>
      </c>
      <c r="D18" s="4" t="s">
        <v>13</v>
      </c>
      <c r="E18" s="4" t="s">
        <v>14</v>
      </c>
      <c r="F18" s="4" t="s">
        <v>15</v>
      </c>
      <c r="G18" s="4"/>
      <c r="H18" s="5"/>
      <c r="I18" s="5"/>
      <c r="J18" s="5"/>
      <c r="K18" s="5"/>
      <c r="L18" s="5"/>
    </row>
    <row r="19" ht="22.5" customHeight="1">
      <c r="A19" s="4">
        <v>18.0</v>
      </c>
      <c r="B19" s="4" t="s">
        <v>40</v>
      </c>
      <c r="C19" s="4">
        <v>16.0</v>
      </c>
      <c r="D19" s="4" t="s">
        <v>13</v>
      </c>
      <c r="E19" s="4" t="s">
        <v>14</v>
      </c>
      <c r="F19" s="4" t="s">
        <v>15</v>
      </c>
      <c r="G19" s="4"/>
      <c r="H19" s="5"/>
      <c r="I19" s="5"/>
      <c r="J19" s="5"/>
      <c r="K19" s="5"/>
      <c r="L19" s="5"/>
    </row>
    <row r="20" ht="22.5" customHeight="1">
      <c r="A20" s="4">
        <v>19.0</v>
      </c>
      <c r="B20" s="4" t="s">
        <v>41</v>
      </c>
      <c r="C20" s="4">
        <v>16.0</v>
      </c>
      <c r="D20" s="4" t="s">
        <v>36</v>
      </c>
      <c r="E20" s="4" t="s">
        <v>14</v>
      </c>
      <c r="F20" s="4" t="s">
        <v>15</v>
      </c>
      <c r="G20" s="4"/>
      <c r="H20" s="5"/>
      <c r="I20" s="5"/>
      <c r="J20" s="5"/>
      <c r="K20" s="5"/>
      <c r="L20" s="5"/>
    </row>
    <row r="21" ht="22.5" customHeight="1">
      <c r="A21" s="4">
        <v>20.0</v>
      </c>
      <c r="B21" s="4" t="s">
        <v>42</v>
      </c>
      <c r="C21" s="4">
        <v>15.0</v>
      </c>
      <c r="D21" s="4" t="s">
        <v>30</v>
      </c>
      <c r="E21" s="4" t="s">
        <v>14</v>
      </c>
      <c r="F21" s="4" t="s">
        <v>15</v>
      </c>
      <c r="G21" s="4"/>
      <c r="H21" s="5"/>
      <c r="I21" s="5"/>
      <c r="J21" s="5"/>
      <c r="K21" s="5"/>
      <c r="L21" s="5"/>
    </row>
    <row r="22" ht="22.5" customHeight="1">
      <c r="A22" s="4">
        <v>21.0</v>
      </c>
      <c r="B22" s="4" t="s">
        <v>43</v>
      </c>
      <c r="C22" s="4">
        <v>16.0</v>
      </c>
      <c r="D22" s="4" t="s">
        <v>30</v>
      </c>
      <c r="E22" s="4" t="s">
        <v>14</v>
      </c>
      <c r="F22" s="4" t="s">
        <v>15</v>
      </c>
      <c r="G22" s="4"/>
      <c r="H22" s="5"/>
      <c r="I22" s="5"/>
      <c r="J22" s="5"/>
      <c r="K22" s="5"/>
      <c r="L22" s="5"/>
    </row>
    <row r="23" ht="22.5" customHeight="1">
      <c r="A23" s="4">
        <v>22.0</v>
      </c>
      <c r="B23" s="4" t="s">
        <v>44</v>
      </c>
      <c r="C23" s="4">
        <v>16.0</v>
      </c>
      <c r="D23" s="4" t="s">
        <v>30</v>
      </c>
      <c r="E23" s="4" t="s">
        <v>14</v>
      </c>
      <c r="F23" s="4" t="s">
        <v>15</v>
      </c>
      <c r="G23" s="4"/>
      <c r="H23" s="5"/>
      <c r="I23" s="5"/>
      <c r="J23" s="5"/>
      <c r="K23" s="5"/>
      <c r="L23" s="5"/>
    </row>
    <row r="24" ht="22.5" customHeight="1">
      <c r="A24" s="4">
        <v>23.0</v>
      </c>
      <c r="B24" s="4" t="s">
        <v>45</v>
      </c>
      <c r="C24" s="4">
        <v>16.0</v>
      </c>
      <c r="D24" s="4" t="s">
        <v>30</v>
      </c>
      <c r="E24" s="4" t="s">
        <v>14</v>
      </c>
      <c r="F24" s="4" t="s">
        <v>15</v>
      </c>
      <c r="G24" s="4"/>
      <c r="H24" s="5"/>
      <c r="I24" s="5"/>
      <c r="J24" s="5"/>
      <c r="K24" s="5"/>
      <c r="L24" s="5"/>
    </row>
    <row r="25" ht="22.5" customHeight="1">
      <c r="A25" s="4">
        <v>24.0</v>
      </c>
      <c r="B25" s="4" t="s">
        <v>46</v>
      </c>
      <c r="C25" s="4"/>
      <c r="D25" s="4"/>
      <c r="E25" s="4" t="s">
        <v>14</v>
      </c>
      <c r="F25" s="4" t="s">
        <v>47</v>
      </c>
      <c r="G25" s="4"/>
      <c r="H25" s="5"/>
      <c r="I25" s="5"/>
      <c r="J25" s="5"/>
      <c r="K25" s="5"/>
      <c r="L25" s="5"/>
    </row>
    <row r="26" ht="22.5" customHeight="1">
      <c r="A26" s="4">
        <v>25.0</v>
      </c>
      <c r="B26" s="4" t="s">
        <v>30</v>
      </c>
      <c r="C26" s="4"/>
      <c r="D26" s="4"/>
      <c r="E26" s="4" t="s">
        <v>14</v>
      </c>
      <c r="F26" s="4" t="s">
        <v>48</v>
      </c>
      <c r="G26" s="4"/>
      <c r="H26" s="5"/>
      <c r="I26" s="5"/>
      <c r="J26" s="5"/>
      <c r="K26" s="5"/>
      <c r="L26" s="5"/>
    </row>
    <row r="27" ht="22.5" customHeight="1">
      <c r="A27" s="4">
        <v>26.0</v>
      </c>
      <c r="B27" s="4" t="s">
        <v>13</v>
      </c>
      <c r="C27" s="4"/>
      <c r="D27" s="4"/>
      <c r="E27" s="4" t="s">
        <v>14</v>
      </c>
      <c r="F27" s="4" t="s">
        <v>48</v>
      </c>
      <c r="G27" s="4"/>
      <c r="H27" s="5"/>
      <c r="I27" s="5"/>
      <c r="J27" s="5"/>
      <c r="K27" s="5"/>
      <c r="L27" s="5"/>
    </row>
    <row r="28" ht="22.5" customHeight="1">
      <c r="A28" s="4">
        <v>27.0</v>
      </c>
      <c r="B28" s="4" t="s">
        <v>49</v>
      </c>
      <c r="C28" s="4"/>
      <c r="D28" s="4"/>
      <c r="E28" s="4" t="s">
        <v>28</v>
      </c>
      <c r="F28" s="4" t="s">
        <v>48</v>
      </c>
      <c r="G28" s="4"/>
      <c r="H28" s="5"/>
      <c r="I28" s="5"/>
      <c r="J28" s="5"/>
      <c r="K28" s="5"/>
      <c r="L28" s="5"/>
    </row>
    <row r="29" ht="22.5" customHeight="1">
      <c r="A29" s="4">
        <v>28.0</v>
      </c>
      <c r="B29" s="4" t="s">
        <v>19</v>
      </c>
      <c r="C29" s="4"/>
      <c r="D29" s="4"/>
      <c r="E29" s="4" t="s">
        <v>14</v>
      </c>
      <c r="F29" s="4" t="s">
        <v>48</v>
      </c>
      <c r="G29" s="4"/>
      <c r="H29" s="5"/>
      <c r="I29" s="5"/>
      <c r="J29" s="5"/>
      <c r="K29" s="5"/>
      <c r="L29" s="5"/>
    </row>
    <row r="30" ht="22.5" customHeight="1">
      <c r="A30" s="4">
        <v>29.0</v>
      </c>
      <c r="B30" s="4" t="s">
        <v>21</v>
      </c>
      <c r="C30" s="4"/>
      <c r="D30" s="4"/>
      <c r="E30" s="4" t="s">
        <v>14</v>
      </c>
      <c r="F30" s="4" t="s">
        <v>48</v>
      </c>
      <c r="G30" s="4"/>
      <c r="H30" s="5"/>
      <c r="I30" s="5"/>
      <c r="J30" s="5"/>
      <c r="K30" s="5"/>
      <c r="L30" s="5"/>
    </row>
    <row r="31" ht="22.5" customHeight="1">
      <c r="A31" s="4">
        <v>30.0</v>
      </c>
      <c r="B31" s="4" t="s">
        <v>50</v>
      </c>
      <c r="C31" s="4"/>
      <c r="D31" s="4"/>
      <c r="E31" s="4" t="s">
        <v>14</v>
      </c>
      <c r="F31" s="4" t="s">
        <v>47</v>
      </c>
      <c r="G31" s="4"/>
      <c r="H31" s="5"/>
      <c r="I31" s="5"/>
      <c r="J31" s="5"/>
      <c r="K31" s="5"/>
      <c r="L31" s="5"/>
    </row>
    <row r="32" ht="22.5" customHeight="1">
      <c r="A32" s="7"/>
      <c r="B32" s="7"/>
      <c r="C32" s="7"/>
      <c r="D32" s="7"/>
      <c r="E32" s="7" t="str">
        <f>IF(figurinhas!$E$2:$E$31 = V)</f>
        <v>#N/A</v>
      </c>
      <c r="F32" s="7"/>
      <c r="G32" s="7"/>
    </row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52.5" customHeight="1">
      <c r="B41" s="8" t="s">
        <v>51</v>
      </c>
      <c r="C41" s="9"/>
      <c r="D41" s="9"/>
      <c r="E41" s="9"/>
      <c r="F41" s="10"/>
    </row>
    <row r="42" ht="46.5" customHeight="1">
      <c r="A42" s="11"/>
      <c r="B42" s="12" t="s">
        <v>52</v>
      </c>
      <c r="C42" s="13" t="s">
        <v>53</v>
      </c>
      <c r="D42" s="12" t="s">
        <v>54</v>
      </c>
      <c r="E42" s="12" t="s">
        <v>55</v>
      </c>
      <c r="F42" s="12" t="s">
        <v>56</v>
      </c>
    </row>
    <row r="43" ht="15.75" customHeight="1">
      <c r="A43" s="14"/>
      <c r="B43" s="15" t="s">
        <v>57</v>
      </c>
      <c r="C43" s="16" t="str">
        <f t="array" ref="C43:C48">UNIQUE(H2:H7)</f>
        <v>MACH FLAS</v>
      </c>
      <c r="D43" s="17"/>
      <c r="E43" s="16">
        <f>COUNTIF($D$2:$D$24 , "MACH FLAS")</f>
        <v>4</v>
      </c>
      <c r="F43" s="16"/>
    </row>
    <row r="44" ht="15.75" customHeight="1">
      <c r="A44" s="14"/>
      <c r="B44" s="15" t="s">
        <v>58</v>
      </c>
      <c r="C44" s="16" t="s">
        <v>17</v>
      </c>
      <c r="D44" s="18"/>
      <c r="E44" s="16">
        <f>COUNTIF($D$2:$D$24 , "JUSTICEIROS")</f>
        <v>4</v>
      </c>
      <c r="F44" s="16"/>
    </row>
    <row r="45" ht="15.75" customHeight="1">
      <c r="A45" s="14"/>
      <c r="B45" s="15" t="s">
        <v>59</v>
      </c>
      <c r="C45" s="16" t="s">
        <v>19</v>
      </c>
      <c r="D45" s="19"/>
      <c r="E45" s="16">
        <f>COUNTIF($D$2:$D$24 , "THE BEAR")</f>
        <v>3</v>
      </c>
      <c r="F45" s="16"/>
    </row>
    <row r="46" ht="15.75" customHeight="1">
      <c r="A46" s="14"/>
      <c r="B46" s="15" t="s">
        <v>60</v>
      </c>
      <c r="C46" s="16" t="s">
        <v>21</v>
      </c>
      <c r="D46" s="20"/>
      <c r="E46" s="16">
        <f>COUNTIF($D$2:$D$24 , "COBRA KAI")</f>
        <v>5</v>
      </c>
      <c r="F46" s="16"/>
    </row>
    <row r="47" ht="15.75" customHeight="1">
      <c r="A47" s="14"/>
      <c r="B47" s="15" t="s">
        <v>61</v>
      </c>
      <c r="C47" s="16" t="s">
        <v>23</v>
      </c>
      <c r="D47" s="21"/>
      <c r="E47" s="16">
        <f>COUNTIF($D$2:$D$24 , "TROPA VTZ")</f>
        <v>5</v>
      </c>
      <c r="F47" s="16"/>
    </row>
    <row r="48" ht="15.75" customHeight="1">
      <c r="A48" s="14"/>
      <c r="B48" s="15" t="s">
        <v>14</v>
      </c>
      <c r="C48" s="16" t="s">
        <v>25</v>
      </c>
      <c r="D48" s="22"/>
      <c r="E48" s="16">
        <f>COUNTIF($D$2:$D$24 , "EXTRA")</f>
        <v>2</v>
      </c>
      <c r="F48" s="16"/>
    </row>
    <row r="49" ht="15.75" customHeight="1">
      <c r="A49" s="14"/>
      <c r="B49" s="23"/>
      <c r="C49" s="14"/>
      <c r="D49" s="14"/>
      <c r="E49" s="14"/>
      <c r="F49" s="14"/>
    </row>
    <row r="50" ht="15.75" customHeight="1">
      <c r="A50" s="14"/>
      <c r="B50" s="23"/>
      <c r="C50" s="14"/>
      <c r="D50" s="14"/>
      <c r="E50" s="14"/>
      <c r="F50" s="14"/>
    </row>
    <row r="51" ht="15.75" customHeight="1">
      <c r="A51" s="14"/>
      <c r="B51" s="23"/>
      <c r="C51" s="14"/>
      <c r="D51" s="14"/>
      <c r="E51" s="14"/>
      <c r="F51" s="14"/>
    </row>
    <row r="52" ht="15.75" customHeight="1">
      <c r="A52" s="14"/>
      <c r="B52" s="23"/>
      <c r="C52" s="14"/>
      <c r="D52" s="14"/>
      <c r="E52" s="14"/>
      <c r="F52" s="14"/>
    </row>
    <row r="53" ht="15.75" customHeight="1">
      <c r="A53" s="14"/>
      <c r="B53" s="23"/>
      <c r="C53" s="14"/>
      <c r="D53" s="14"/>
      <c r="E53" s="14"/>
      <c r="F53" s="14"/>
    </row>
    <row r="54" ht="15.75" customHeight="1">
      <c r="A54" s="14"/>
      <c r="B54" s="23"/>
      <c r="C54" s="14"/>
      <c r="D54" s="14"/>
      <c r="E54" s="14"/>
      <c r="F54" s="14"/>
    </row>
    <row r="55" ht="15.75" customHeight="1">
      <c r="A55" s="14"/>
      <c r="B55" s="23"/>
      <c r="C55" s="14"/>
      <c r="D55" s="14"/>
      <c r="E55" s="14"/>
      <c r="F55" s="14"/>
    </row>
    <row r="56" ht="15.75" customHeight="1">
      <c r="A56" s="14"/>
      <c r="B56" s="23"/>
      <c r="C56" s="14"/>
      <c r="D56" s="14"/>
      <c r="E56" s="14"/>
      <c r="F56" s="14"/>
    </row>
    <row r="57" ht="15.75" customHeight="1">
      <c r="A57" s="14"/>
      <c r="B57" s="23"/>
      <c r="C57" s="14"/>
      <c r="D57" s="14"/>
      <c r="E57" s="14"/>
      <c r="F57" s="14"/>
    </row>
    <row r="58" ht="15.75" customHeight="1">
      <c r="A58" s="14"/>
      <c r="B58" s="23"/>
      <c r="C58" s="14"/>
      <c r="D58" s="14"/>
      <c r="E58" s="14"/>
      <c r="F58" s="14"/>
    </row>
    <row r="59" ht="15.75" customHeight="1">
      <c r="A59" s="14"/>
      <c r="B59" s="23"/>
      <c r="C59" s="14"/>
      <c r="D59" s="14"/>
      <c r="E59" s="14"/>
      <c r="F59" s="14"/>
    </row>
    <row r="60" ht="15.75" customHeight="1">
      <c r="A60" s="14"/>
      <c r="B60" s="23"/>
      <c r="C60" s="14"/>
      <c r="D60" s="14"/>
      <c r="E60" s="14"/>
      <c r="F60" s="14"/>
    </row>
    <row r="61" ht="15.75" customHeight="1">
      <c r="A61" s="14"/>
      <c r="B61" s="23"/>
      <c r="C61" s="14"/>
      <c r="D61" s="14"/>
      <c r="E61" s="14"/>
      <c r="F61" s="14"/>
    </row>
    <row r="62" ht="15.75" customHeight="1">
      <c r="A62" s="14"/>
      <c r="B62" s="23"/>
      <c r="C62" s="14"/>
      <c r="D62" s="14"/>
      <c r="E62" s="14"/>
      <c r="F62" s="14"/>
    </row>
    <row r="63" ht="15.75" customHeight="1">
      <c r="A63" s="14"/>
      <c r="B63" s="23"/>
      <c r="C63" s="14"/>
      <c r="D63" s="14"/>
      <c r="E63" s="14"/>
      <c r="F63" s="14"/>
    </row>
    <row r="64" ht="15.75" customHeight="1">
      <c r="A64" s="14"/>
      <c r="B64" s="23"/>
      <c r="C64" s="14"/>
      <c r="D64" s="14"/>
      <c r="E64" s="14"/>
      <c r="F64" s="14"/>
    </row>
    <row r="65" ht="15.75" customHeight="1">
      <c r="A65" s="14"/>
      <c r="B65" s="23"/>
      <c r="C65" s="14"/>
      <c r="D65" s="14"/>
      <c r="E65" s="14"/>
      <c r="F65" s="14"/>
    </row>
    <row r="66" ht="15.75" customHeight="1">
      <c r="A66" s="14"/>
      <c r="B66" s="23"/>
      <c r="C66" s="14"/>
      <c r="D66" s="14"/>
      <c r="E66" s="14"/>
      <c r="F66" s="14"/>
    </row>
    <row r="67" ht="15.75" customHeight="1">
      <c r="A67" s="14"/>
      <c r="B67" s="23"/>
      <c r="C67" s="14"/>
      <c r="D67" s="14"/>
      <c r="E67" s="14"/>
      <c r="F67" s="14"/>
    </row>
    <row r="68" ht="15.75" customHeight="1">
      <c r="A68" s="14"/>
      <c r="B68" s="23"/>
      <c r="C68" s="14"/>
      <c r="D68" s="14"/>
      <c r="E68" s="14"/>
      <c r="F68" s="14"/>
    </row>
    <row r="69" ht="15.75" customHeight="1">
      <c r="A69" s="14"/>
      <c r="B69" s="14"/>
      <c r="C69" s="14"/>
      <c r="D69" s="14"/>
      <c r="E69" s="14"/>
      <c r="F69" s="14"/>
    </row>
    <row r="70" ht="15.75" customHeight="1">
      <c r="A70" s="14"/>
      <c r="B70" s="14"/>
      <c r="C70" s="14"/>
      <c r="D70" s="14"/>
      <c r="E70" s="14"/>
      <c r="F70" s="14"/>
    </row>
    <row r="71" ht="15.75" customHeight="1">
      <c r="A71" s="14"/>
      <c r="B71" s="14"/>
      <c r="C71" s="14"/>
      <c r="D71" s="14"/>
      <c r="E71" s="14"/>
      <c r="F71" s="14"/>
    </row>
    <row r="72" ht="15.75" customHeight="1">
      <c r="A72" s="14"/>
      <c r="B72" s="14"/>
      <c r="C72" s="14"/>
      <c r="D72" s="14"/>
      <c r="E72" s="14"/>
      <c r="F72" s="14"/>
    </row>
    <row r="73" ht="15.75" customHeight="1">
      <c r="A73" s="14"/>
    </row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B41:F41"/>
  </mergeCells>
  <conditionalFormatting sqref="H2:H7">
    <cfRule type="notContainsBlanks" dxfId="5" priority="1">
      <formula>LEN(TRIM(H2))&gt;0</formula>
    </cfRule>
  </conditionalFormatting>
  <dataValidations>
    <dataValidation type="list" allowBlank="1" sqref="F2:F31">
      <formula1>"ALUNO,RARA,ESCUDERIA"</formula1>
    </dataValidation>
    <dataValidation type="list" allowBlank="1" sqref="D2:D31">
      <formula1>"MACH FLAS,JUSTICEIROS,THE BEAR,COBRA KAI,TROPA VTZ,EXTRA"</formula1>
    </dataValidation>
    <dataValidation type="custom" allowBlank="1" showDropDown="1" sqref="A2:A31">
      <formula1>AND(ISNUMBER(A2),(NOT(OR(NOT(ISERROR(DATEVALUE(A2))), AND(ISNUMBER(A2), LEFT(CELL("format", A2))="D")))))</formula1>
    </dataValidation>
    <dataValidation type="list" allowBlank="1" sqref="E2:E31">
      <formula1>"V,F"</formula1>
    </dataValidation>
  </dataValidations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2" max="2" width="21.13"/>
    <col customWidth="1" min="3" max="3" width="21.25"/>
    <col customWidth="1" min="4" max="4" width="24.88"/>
    <col customWidth="1" min="5" max="5" width="22.63"/>
  </cols>
  <sheetData>
    <row r="1">
      <c r="A1" s="8" t="s">
        <v>51</v>
      </c>
      <c r="B1" s="9"/>
      <c r="C1" s="9"/>
      <c r="D1" s="9"/>
      <c r="E1" s="10"/>
    </row>
    <row r="2">
      <c r="A2" s="12" t="s">
        <v>52</v>
      </c>
      <c r="B2" s="13" t="s">
        <v>53</v>
      </c>
      <c r="C2" s="12" t="s">
        <v>54</v>
      </c>
      <c r="D2" s="12" t="s">
        <v>55</v>
      </c>
      <c r="E2" s="12" t="s">
        <v>56</v>
      </c>
    </row>
    <row r="3">
      <c r="A3" s="15" t="s">
        <v>57</v>
      </c>
      <c r="B3" s="16" t="str">
        <f t="array" ref="B3:B9">UNIQUE(figurinhas!$D2:D31)</f>
        <v>MACH FLAS</v>
      </c>
      <c r="C3" s="15" t="s">
        <v>62</v>
      </c>
      <c r="D3" s="16">
        <f>COUNTIF(figurinhas!$D$2:$D$24 , B3)</f>
        <v>4</v>
      </c>
      <c r="E3" s="16" t="str">
        <f t="shared" ref="E3:E8" si="1">IFS(D3&lt;=3, "PEQUENA", D3&lt;=4, "MEDIA", TRUE, "GRANDE")</f>
        <v>MEDIA</v>
      </c>
    </row>
    <row r="4">
      <c r="A4" s="15" t="s">
        <v>58</v>
      </c>
      <c r="B4" s="16" t="s">
        <v>17</v>
      </c>
      <c r="C4" s="15" t="s">
        <v>63</v>
      </c>
      <c r="D4" s="16">
        <f>COUNTIF(figurinhas!$D$2:$D$24 , B4)</f>
        <v>4</v>
      </c>
      <c r="E4" s="16" t="str">
        <f t="shared" si="1"/>
        <v>MEDIA</v>
      </c>
    </row>
    <row r="5">
      <c r="A5" s="15" t="s">
        <v>59</v>
      </c>
      <c r="B5" s="16" t="s">
        <v>19</v>
      </c>
      <c r="C5" s="15" t="s">
        <v>64</v>
      </c>
      <c r="D5" s="16">
        <f>COUNTIF(figurinhas!$D$2:$D$24 , B5)</f>
        <v>3</v>
      </c>
      <c r="E5" s="16" t="str">
        <f t="shared" si="1"/>
        <v>PEQUENA</v>
      </c>
    </row>
    <row r="6">
      <c r="A6" s="15" t="s">
        <v>60</v>
      </c>
      <c r="B6" s="16" t="s">
        <v>21</v>
      </c>
      <c r="C6" s="15" t="s">
        <v>65</v>
      </c>
      <c r="D6" s="16">
        <f>COUNTIF(figurinhas!$D$2:$D$24 , B6)</f>
        <v>5</v>
      </c>
      <c r="E6" s="16" t="str">
        <f t="shared" si="1"/>
        <v>GRANDE</v>
      </c>
    </row>
    <row r="7">
      <c r="A7" s="15" t="s">
        <v>61</v>
      </c>
      <c r="B7" s="16" t="s">
        <v>30</v>
      </c>
      <c r="C7" s="15" t="s">
        <v>66</v>
      </c>
      <c r="D7" s="16">
        <f>COUNTIF(figurinhas!$D$2:$D$24 , B7)</f>
        <v>5</v>
      </c>
      <c r="E7" s="16" t="str">
        <f t="shared" si="1"/>
        <v>GRANDE</v>
      </c>
    </row>
    <row r="8">
      <c r="A8" s="15" t="s">
        <v>14</v>
      </c>
      <c r="B8" s="16" t="s">
        <v>36</v>
      </c>
      <c r="C8" s="15" t="s">
        <v>67</v>
      </c>
      <c r="D8" s="16">
        <f>COUNTIF(figurinhas!$D$2:$D$24 , B8)</f>
        <v>2</v>
      </c>
      <c r="E8" s="16" t="str">
        <f t="shared" si="1"/>
        <v>PEQUENA</v>
      </c>
    </row>
    <row r="9">
      <c r="B9" s="24"/>
    </row>
  </sheetData>
  <mergeCells count="1">
    <mergeCell ref="A1:E1"/>
  </mergeCells>
  <conditionalFormatting sqref="E3:E8">
    <cfRule type="cellIs" dxfId="6" priority="1" operator="equal">
      <formula>"MEDIA"</formula>
    </cfRule>
  </conditionalFormatting>
  <conditionalFormatting sqref="E3:E8">
    <cfRule type="cellIs" dxfId="7" priority="2" operator="equal">
      <formula>"PEQUENA"</formula>
    </cfRule>
  </conditionalFormatting>
  <conditionalFormatting sqref="E3:E8">
    <cfRule type="cellIs" dxfId="8" priority="3" operator="equal">
      <formula>"GRANDE"</formula>
    </cfRule>
  </conditionalFormatting>
  <drawing r:id="rId1"/>
</worksheet>
</file>